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1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plan progresivo\"/>
    </mc:Choice>
  </mc:AlternateContent>
  <xr:revisionPtr revIDLastSave="0" documentId="8_{35949848-CA33-4448-A591-790588A92582}" xr6:coauthVersionLast="47" xr6:coauthVersionMax="47" xr10:uidLastSave="{00000000-0000-0000-0000-000000000000}"/>
  <bookViews>
    <workbookView xWindow="-108" yWindow="-108" windowWidth="23256" windowHeight="13176" tabRatio="602" xr2:uid="{00000000-000D-0000-FFFF-FFFF00000000}"/>
  </bookViews>
  <sheets>
    <sheet name="Masculino " sheetId="1" r:id="rId1"/>
    <sheet name="Femenino" sheetId="2" r:id="rId2"/>
  </sheets>
  <calcPr calcId="191029"/>
</workbook>
</file>

<file path=xl/calcChain.xml><?xml version="1.0" encoding="utf-8"?>
<calcChain xmlns="http://schemas.openxmlformats.org/spreadsheetml/2006/main">
  <c r="T7" i="1" l="1"/>
  <c r="GI14" i="1" l="1"/>
  <c r="AF7" i="1"/>
  <c r="T7" i="2" l="1"/>
  <c r="XC16" i="2" l="1"/>
  <c r="HY16" i="2"/>
  <c r="HP16" i="2"/>
  <c r="HK16" i="2"/>
  <c r="HF16" i="2"/>
  <c r="GU16" i="2"/>
  <c r="GT16" i="2"/>
  <c r="GP16" i="2"/>
  <c r="GO16" i="2"/>
  <c r="GN16" i="2"/>
  <c r="GM16" i="2"/>
  <c r="GL16" i="2"/>
  <c r="GK16" i="2"/>
  <c r="GJ16" i="2"/>
  <c r="GI16" i="2"/>
  <c r="GH16" i="2"/>
  <c r="GG16" i="2"/>
  <c r="GF16" i="2"/>
  <c r="GE16" i="2"/>
  <c r="GD16" i="2"/>
  <c r="GC16" i="2"/>
  <c r="GA16" i="2"/>
  <c r="FZ16" i="2"/>
  <c r="FY16" i="2"/>
  <c r="FX16" i="2"/>
  <c r="FW16" i="2"/>
  <c r="FV16" i="2"/>
  <c r="FU16" i="2"/>
  <c r="FT16" i="2"/>
  <c r="FS16" i="2"/>
  <c r="FR16" i="2"/>
  <c r="FQ16" i="2"/>
  <c r="FP16" i="2"/>
  <c r="FO16" i="2"/>
  <c r="FN16" i="2"/>
  <c r="FM16" i="2"/>
  <c r="FL16" i="2"/>
  <c r="FJ16" i="2"/>
  <c r="FI16" i="2"/>
  <c r="FH16" i="2"/>
  <c r="FG16" i="2"/>
  <c r="FF16" i="2"/>
  <c r="FE16" i="2"/>
  <c r="FD16" i="2"/>
  <c r="FC16" i="2"/>
  <c r="FB16" i="2"/>
  <c r="FA16" i="2"/>
  <c r="EZ16" i="2"/>
  <c r="EY16" i="2"/>
  <c r="EX16" i="2"/>
  <c r="EW16" i="2"/>
  <c r="EV16" i="2"/>
  <c r="ET16" i="2"/>
  <c r="ES16" i="2"/>
  <c r="ER16" i="2"/>
  <c r="EQ16" i="2"/>
  <c r="EM16" i="2"/>
  <c r="EL16" i="2"/>
  <c r="EK16" i="2"/>
  <c r="EJ16" i="2"/>
  <c r="EI16" i="2"/>
  <c r="EH16" i="2"/>
  <c r="EG16" i="2"/>
  <c r="EF16" i="2"/>
  <c r="ED16" i="2"/>
  <c r="EB16" i="2"/>
  <c r="EA16" i="2"/>
  <c r="DZ16" i="2"/>
  <c r="DY16" i="2"/>
  <c r="DX16" i="2"/>
  <c r="DW16" i="2"/>
  <c r="DV16" i="2"/>
  <c r="DU16" i="2"/>
  <c r="DT16" i="2"/>
  <c r="DR16" i="2"/>
  <c r="DQ16" i="2"/>
  <c r="DS16" i="2" s="1"/>
  <c r="DP16" i="2"/>
  <c r="DO16" i="2"/>
  <c r="DN16" i="2"/>
  <c r="XC15" i="2"/>
  <c r="HY15" i="2"/>
  <c r="HP15" i="2"/>
  <c r="HK15" i="2"/>
  <c r="HF15" i="2"/>
  <c r="GU15" i="2"/>
  <c r="GT15" i="2"/>
  <c r="GP15" i="2"/>
  <c r="GO15" i="2"/>
  <c r="GN15" i="2"/>
  <c r="GM15" i="2"/>
  <c r="GL15" i="2"/>
  <c r="GK15" i="2"/>
  <c r="GJ15" i="2"/>
  <c r="GI15" i="2"/>
  <c r="GH15" i="2"/>
  <c r="GG15" i="2"/>
  <c r="GF15" i="2"/>
  <c r="GE15" i="2"/>
  <c r="GD15" i="2"/>
  <c r="GC15" i="2"/>
  <c r="GA15" i="2"/>
  <c r="FZ15" i="2"/>
  <c r="FY15" i="2"/>
  <c r="FX15" i="2"/>
  <c r="FW15" i="2"/>
  <c r="FV15" i="2"/>
  <c r="FU15" i="2"/>
  <c r="FT15" i="2"/>
  <c r="FS15" i="2"/>
  <c r="FR15" i="2"/>
  <c r="FQ15" i="2"/>
  <c r="FP15" i="2"/>
  <c r="FO15" i="2"/>
  <c r="FN15" i="2"/>
  <c r="FM15" i="2"/>
  <c r="FL15" i="2"/>
  <c r="FJ15" i="2"/>
  <c r="FI15" i="2"/>
  <c r="FH15" i="2"/>
  <c r="FG15" i="2"/>
  <c r="FF15" i="2"/>
  <c r="FE15" i="2"/>
  <c r="FD15" i="2"/>
  <c r="FC15" i="2"/>
  <c r="FB15" i="2"/>
  <c r="FA15" i="2"/>
  <c r="EZ15" i="2"/>
  <c r="EY15" i="2"/>
  <c r="EX15" i="2"/>
  <c r="EW15" i="2"/>
  <c r="EV15" i="2"/>
  <c r="ET15" i="2"/>
  <c r="ES15" i="2"/>
  <c r="ER15" i="2"/>
  <c r="EQ15" i="2"/>
  <c r="EM15" i="2"/>
  <c r="EL15" i="2"/>
  <c r="EK15" i="2"/>
  <c r="EJ15" i="2"/>
  <c r="EI15" i="2"/>
  <c r="EH15" i="2"/>
  <c r="EG15" i="2"/>
  <c r="EF15" i="2"/>
  <c r="EB15" i="2"/>
  <c r="DR15" i="2"/>
  <c r="DQ15" i="2"/>
  <c r="DS15" i="2" s="1"/>
  <c r="DP15" i="2"/>
  <c r="DO15" i="2"/>
  <c r="DN15" i="2"/>
  <c r="XC14" i="2"/>
  <c r="HY14" i="2"/>
  <c r="HP14" i="2"/>
  <c r="HK14" i="2"/>
  <c r="HF14" i="2"/>
  <c r="GU14" i="2"/>
  <c r="GT14" i="2"/>
  <c r="GP14" i="2"/>
  <c r="GO14" i="2"/>
  <c r="GN14" i="2"/>
  <c r="GM14" i="2"/>
  <c r="GL14" i="2"/>
  <c r="GK14" i="2"/>
  <c r="GJ14" i="2"/>
  <c r="GI14" i="2"/>
  <c r="GH14" i="2"/>
  <c r="GG14" i="2"/>
  <c r="GF14" i="2"/>
  <c r="GE14" i="2"/>
  <c r="GD14" i="2"/>
  <c r="GC14" i="2"/>
  <c r="GA14" i="2"/>
  <c r="FZ14" i="2"/>
  <c r="FY14" i="2"/>
  <c r="FX14" i="2"/>
  <c r="FW14" i="2"/>
  <c r="FV14" i="2"/>
  <c r="FU14" i="2"/>
  <c r="FT14" i="2"/>
  <c r="FS14" i="2"/>
  <c r="FR14" i="2"/>
  <c r="FQ14" i="2"/>
  <c r="FP14" i="2"/>
  <c r="FO14" i="2"/>
  <c r="FN14" i="2"/>
  <c r="FM14" i="2"/>
  <c r="FL14" i="2"/>
  <c r="FJ14" i="2"/>
  <c r="FI14" i="2"/>
  <c r="FH14" i="2"/>
  <c r="FG14" i="2"/>
  <c r="FF14" i="2"/>
  <c r="FE14" i="2"/>
  <c r="FD14" i="2"/>
  <c r="FC14" i="2"/>
  <c r="FB14" i="2"/>
  <c r="FA14" i="2"/>
  <c r="EZ14" i="2"/>
  <c r="EY14" i="2"/>
  <c r="EX14" i="2"/>
  <c r="EW14" i="2"/>
  <c r="EV14" i="2"/>
  <c r="ET14" i="2"/>
  <c r="ES14" i="2"/>
  <c r="ER14" i="2"/>
  <c r="EQ14" i="2"/>
  <c r="EM14" i="2"/>
  <c r="EL14" i="2"/>
  <c r="EK14" i="2"/>
  <c r="EJ14" i="2"/>
  <c r="EI14" i="2"/>
  <c r="EH14" i="2"/>
  <c r="EG14" i="2"/>
  <c r="EF14" i="2"/>
  <c r="DR14" i="2"/>
  <c r="DQ14" i="2"/>
  <c r="DS14" i="2" s="1"/>
  <c r="DP14" i="2"/>
  <c r="DO14" i="2"/>
  <c r="DN14" i="2"/>
  <c r="XC13" i="2"/>
  <c r="HY13" i="2"/>
  <c r="HP13" i="2"/>
  <c r="HK13" i="2"/>
  <c r="HF13" i="2"/>
  <c r="GU13" i="2"/>
  <c r="GT13" i="2"/>
  <c r="GP13" i="2"/>
  <c r="GO13" i="2"/>
  <c r="GN13" i="2"/>
  <c r="GM13" i="2"/>
  <c r="GL13" i="2"/>
  <c r="GK13" i="2"/>
  <c r="GJ13" i="2"/>
  <c r="GI13" i="2"/>
  <c r="GH13" i="2"/>
  <c r="GG13" i="2"/>
  <c r="GF13" i="2"/>
  <c r="GE13" i="2"/>
  <c r="GD13" i="2"/>
  <c r="GC13" i="2"/>
  <c r="FM13" i="2"/>
  <c r="FL13" i="2"/>
  <c r="FJ13" i="2"/>
  <c r="FI13" i="2"/>
  <c r="FH13" i="2"/>
  <c r="FG13" i="2"/>
  <c r="FF13" i="2"/>
  <c r="FE13" i="2"/>
  <c r="FD13" i="2"/>
  <c r="FC13" i="2"/>
  <c r="FB13" i="2"/>
  <c r="FA13" i="2"/>
  <c r="EZ13" i="2"/>
  <c r="EY13" i="2"/>
  <c r="EX13" i="2"/>
  <c r="EW13" i="2"/>
  <c r="EV13" i="2"/>
  <c r="ET13" i="2"/>
  <c r="ES13" i="2"/>
  <c r="ER13" i="2"/>
  <c r="EQ13" i="2"/>
  <c r="EM13" i="2"/>
  <c r="EL13" i="2"/>
  <c r="EK13" i="2"/>
  <c r="EJ13" i="2"/>
  <c r="EI13" i="2"/>
  <c r="EH13" i="2"/>
  <c r="EG13" i="2"/>
  <c r="EF13" i="2"/>
  <c r="ED13" i="2"/>
  <c r="DR13" i="2"/>
  <c r="DQ13" i="2"/>
  <c r="DS13" i="2" s="1"/>
  <c r="DP13" i="2"/>
  <c r="DO13" i="2"/>
  <c r="DN13" i="2"/>
  <c r="XC12" i="2"/>
  <c r="HY12" i="2"/>
  <c r="HP12" i="2"/>
  <c r="HK12" i="2"/>
  <c r="HF12" i="2"/>
  <c r="GU12" i="2"/>
  <c r="GT12" i="2"/>
  <c r="GP12" i="2"/>
  <c r="GO12" i="2"/>
  <c r="GN12" i="2"/>
  <c r="GM12" i="2"/>
  <c r="GL12" i="2"/>
  <c r="GK12" i="2"/>
  <c r="GJ12" i="2"/>
  <c r="GH12" i="2"/>
  <c r="GG12" i="2"/>
  <c r="GF12" i="2"/>
  <c r="GE12" i="2"/>
  <c r="GD12" i="2"/>
  <c r="GC12" i="2"/>
  <c r="FM12" i="2"/>
  <c r="FL12" i="2"/>
  <c r="FJ12" i="2"/>
  <c r="FI12" i="2"/>
  <c r="FF12" i="2"/>
  <c r="FA12" i="2"/>
  <c r="EZ12" i="2"/>
  <c r="EW12" i="2"/>
  <c r="EV12" i="2"/>
  <c r="ET12" i="2"/>
  <c r="ES12" i="2"/>
  <c r="ER12" i="2"/>
  <c r="EQ12" i="2"/>
  <c r="EM12" i="2"/>
  <c r="EL12" i="2"/>
  <c r="EK12" i="2"/>
  <c r="EJ12" i="2"/>
  <c r="EI12" i="2"/>
  <c r="EH12" i="2"/>
  <c r="EG12" i="2"/>
  <c r="EF12" i="2"/>
  <c r="DR12" i="2"/>
  <c r="DQ12" i="2"/>
  <c r="DS12" i="2" s="1"/>
  <c r="DP12" i="2"/>
  <c r="DO12" i="2"/>
  <c r="DN12" i="2"/>
  <c r="XC11" i="2"/>
  <c r="WW11" i="2"/>
  <c r="HS11" i="2"/>
  <c r="HQ11" i="2"/>
  <c r="HP11" i="2"/>
  <c r="HN11" i="2"/>
  <c r="HL11" i="2"/>
  <c r="HK11" i="2"/>
  <c r="HI11" i="2"/>
  <c r="HG11" i="2"/>
  <c r="GU11" i="2"/>
  <c r="GT11" i="2"/>
  <c r="GP11" i="2"/>
  <c r="GO11" i="2"/>
  <c r="GN11" i="2"/>
  <c r="GM11" i="2"/>
  <c r="GL11" i="2"/>
  <c r="GK11" i="2"/>
  <c r="GJ11" i="2"/>
  <c r="GI11" i="2"/>
  <c r="GH11" i="2"/>
  <c r="GG11" i="2"/>
  <c r="GF11" i="2"/>
  <c r="GE11" i="2"/>
  <c r="GD11" i="2"/>
  <c r="GC11" i="2"/>
  <c r="FM11" i="2"/>
  <c r="FL11" i="2"/>
  <c r="FJ11" i="2"/>
  <c r="FI11" i="2"/>
  <c r="EW11" i="2"/>
  <c r="EV11" i="2"/>
  <c r="ET11" i="2"/>
  <c r="ES11" i="2"/>
  <c r="ER11" i="2"/>
  <c r="EQ11" i="2"/>
  <c r="EM11" i="2"/>
  <c r="EL11" i="2"/>
  <c r="EK11" i="2"/>
  <c r="EJ11" i="2"/>
  <c r="EI11" i="2"/>
  <c r="EH11" i="2"/>
  <c r="EG11" i="2"/>
  <c r="EF11" i="2"/>
  <c r="DR11" i="2"/>
  <c r="DQ11" i="2"/>
  <c r="DS11" i="2" s="1"/>
  <c r="DP11" i="2"/>
  <c r="DO11" i="2"/>
  <c r="DN11" i="2"/>
  <c r="DR10" i="2"/>
  <c r="DQ10" i="2"/>
  <c r="DS10" i="2" s="1"/>
  <c r="XC9" i="2"/>
  <c r="WW9" i="2"/>
  <c r="WO9" i="2"/>
  <c r="HY9" i="2"/>
  <c r="HS9" i="2"/>
  <c r="HQ9" i="2"/>
  <c r="HP9" i="2"/>
  <c r="HN9" i="2"/>
  <c r="HL9" i="2"/>
  <c r="HK9" i="2"/>
  <c r="HI9" i="2"/>
  <c r="HG9" i="2"/>
  <c r="HF9" i="2"/>
  <c r="GU9" i="2"/>
  <c r="GP9" i="2"/>
  <c r="GO9" i="2"/>
  <c r="GN9" i="2"/>
  <c r="GM9" i="2"/>
  <c r="GL9" i="2"/>
  <c r="GK9" i="2"/>
  <c r="GJ9" i="2"/>
  <c r="GI9" i="2"/>
  <c r="GH9" i="2"/>
  <c r="GG9" i="2"/>
  <c r="GF9" i="2"/>
  <c r="GE9" i="2"/>
  <c r="GD9" i="2"/>
  <c r="GC9" i="2"/>
  <c r="FT9" i="2"/>
  <c r="FP9" i="2"/>
  <c r="FO9" i="2"/>
  <c r="DR9" i="2"/>
  <c r="DQ9" i="2"/>
  <c r="DS9" i="2" s="1"/>
  <c r="DO9" i="2"/>
  <c r="AF7" i="2"/>
  <c r="AR7" i="2" s="1"/>
  <c r="BD7" i="2" s="1"/>
  <c r="BP7" i="2" s="1"/>
  <c r="CB7" i="2" s="1"/>
  <c r="DF10" i="1" l="1"/>
  <c r="DF9" i="1"/>
  <c r="DE10" i="1"/>
  <c r="DG10" i="1" s="1"/>
  <c r="GH11" i="1"/>
  <c r="WQ16" i="1"/>
  <c r="WC16" i="1"/>
  <c r="HM16" i="1"/>
  <c r="HD16" i="1"/>
  <c r="GY16" i="1"/>
  <c r="GT16" i="1"/>
  <c r="GI16" i="1"/>
  <c r="GH16" i="1"/>
  <c r="GD16" i="1"/>
  <c r="GC16" i="1"/>
  <c r="GB16" i="1"/>
  <c r="GA16" i="1"/>
  <c r="FZ16" i="1"/>
  <c r="FY16" i="1"/>
  <c r="FX16" i="1"/>
  <c r="FW16" i="1"/>
  <c r="FV16" i="1"/>
  <c r="FU16" i="1"/>
  <c r="FT16" i="1"/>
  <c r="FS16" i="1"/>
  <c r="FR16" i="1"/>
  <c r="FQ16" i="1"/>
  <c r="FO16" i="1"/>
  <c r="FN16" i="1"/>
  <c r="FM16" i="1"/>
  <c r="FL16" i="1"/>
  <c r="FK16" i="1"/>
  <c r="FJ16" i="1"/>
  <c r="FI16" i="1"/>
  <c r="FH16" i="1"/>
  <c r="FG16" i="1"/>
  <c r="FF16" i="1"/>
  <c r="FE16" i="1"/>
  <c r="FD16" i="1"/>
  <c r="FC16" i="1"/>
  <c r="FB16" i="1"/>
  <c r="FA16" i="1"/>
  <c r="EZ16" i="1"/>
  <c r="EX16" i="1"/>
  <c r="EW16" i="1"/>
  <c r="EV16" i="1"/>
  <c r="EU16" i="1"/>
  <c r="ET16" i="1"/>
  <c r="ES16" i="1"/>
  <c r="ER16" i="1"/>
  <c r="EQ16" i="1"/>
  <c r="EP16" i="1"/>
  <c r="EO16" i="1"/>
  <c r="EN16" i="1"/>
  <c r="EM16" i="1"/>
  <c r="EL16" i="1"/>
  <c r="EK16" i="1"/>
  <c r="EJ16" i="1"/>
  <c r="DF16" i="1"/>
  <c r="DE16" i="1"/>
  <c r="DG16" i="1" s="1"/>
  <c r="DD16" i="1"/>
  <c r="DC16" i="1"/>
  <c r="DB16" i="1"/>
  <c r="G16" i="1"/>
  <c r="WQ15" i="1"/>
  <c r="WC15" i="1"/>
  <c r="HM15" i="1"/>
  <c r="HD15" i="1"/>
  <c r="GY15" i="1"/>
  <c r="GT15" i="1"/>
  <c r="GH15" i="1"/>
  <c r="DC15" i="1"/>
  <c r="DB15" i="1"/>
  <c r="WQ14" i="1"/>
  <c r="WC14" i="1"/>
  <c r="HM14" i="1"/>
  <c r="HD14" i="1"/>
  <c r="GY14" i="1"/>
  <c r="GH14" i="1"/>
  <c r="DC14" i="1"/>
  <c r="DB14" i="1"/>
  <c r="WQ13" i="1"/>
  <c r="WC13" i="1"/>
  <c r="HM13" i="1"/>
  <c r="HD13" i="1"/>
  <c r="GY13" i="1"/>
  <c r="GI13" i="1"/>
  <c r="GH13" i="1"/>
  <c r="DC13" i="1"/>
  <c r="DB13" i="1"/>
  <c r="WQ12" i="1"/>
  <c r="WC12" i="1"/>
  <c r="HM12" i="1"/>
  <c r="HD12" i="1"/>
  <c r="GY12" i="1"/>
  <c r="GT12" i="1"/>
  <c r="GI12" i="1"/>
  <c r="GH12" i="1"/>
  <c r="DU12" i="1"/>
  <c r="DT12" i="1"/>
  <c r="DC12" i="1"/>
  <c r="DB12" i="1"/>
  <c r="WQ11" i="1"/>
  <c r="WK11" i="1"/>
  <c r="WC11" i="1"/>
  <c r="HG11" i="1"/>
  <c r="HE11" i="1"/>
  <c r="HD11" i="1"/>
  <c r="HB11" i="1"/>
  <c r="GZ11" i="1"/>
  <c r="GY11" i="1"/>
  <c r="GW11" i="1"/>
  <c r="GU11" i="1"/>
  <c r="GT11" i="1"/>
  <c r="GI11" i="1"/>
  <c r="DC11" i="1"/>
  <c r="DB11" i="1"/>
  <c r="WQ9" i="1"/>
  <c r="WK9" i="1"/>
  <c r="WC9" i="1"/>
  <c r="HM9" i="1"/>
  <c r="HG9" i="1"/>
  <c r="HE9" i="1"/>
  <c r="HD9" i="1"/>
  <c r="HB9" i="1"/>
  <c r="GZ9" i="1"/>
  <c r="GY9" i="1"/>
  <c r="GW9" i="1"/>
  <c r="GU9" i="1"/>
  <c r="GT9" i="1"/>
  <c r="GI9" i="1"/>
  <c r="GD9" i="1"/>
  <c r="GC9" i="1"/>
  <c r="GB9" i="1"/>
  <c r="GA9" i="1"/>
  <c r="FZ9" i="1"/>
  <c r="FY9" i="1"/>
  <c r="FX9" i="1"/>
  <c r="FW9" i="1"/>
  <c r="FV9" i="1"/>
  <c r="FU9" i="1"/>
  <c r="FT9" i="1"/>
  <c r="FS9" i="1"/>
  <c r="FR9" i="1"/>
  <c r="FQ9" i="1"/>
  <c r="FH9" i="1"/>
  <c r="FD9" i="1"/>
  <c r="FC9" i="1"/>
  <c r="DE9" i="1"/>
  <c r="DG9" i="1" s="1"/>
  <c r="DC9" i="1"/>
  <c r="AR7" i="1"/>
  <c r="BD7" i="1" s="1"/>
  <c r="BP7" i="1" s="1"/>
  <c r="CB7" i="1" s="1"/>
  <c r="CN7" i="1" s="1"/>
</calcChain>
</file>

<file path=xl/sharedStrings.xml><?xml version="1.0" encoding="utf-8"?>
<sst xmlns="http://schemas.openxmlformats.org/spreadsheetml/2006/main" count="1633" uniqueCount="389">
  <si>
    <t>CUADRO DE METAS</t>
  </si>
  <si>
    <t>CUADRO DE ADELANTOS</t>
  </si>
  <si>
    <t>ADELANTO PRGRESIVO</t>
  </si>
  <si>
    <t>BÁSICAS</t>
  </si>
  <si>
    <t>OPCIONALES</t>
  </si>
  <si>
    <t>ESPECIALIDADES</t>
  </si>
  <si>
    <t>CURSOS</t>
  </si>
  <si>
    <t>VIDA DE GRUPO</t>
  </si>
  <si>
    <t>CONCURSO DE VIDA AL AIRE LIBRE</t>
  </si>
  <si>
    <t>CICLOS INSTITUCIONALES</t>
  </si>
  <si>
    <t>CONCURSO DE ACCIÓN COMUNITARIA</t>
  </si>
  <si>
    <t>SERVICIO SOCIAL Y COMUNIDAD</t>
  </si>
  <si>
    <t>VIVENCIA AL AIRE LIBRE</t>
  </si>
  <si>
    <t>DESARROLLO PERSONAL</t>
  </si>
  <si>
    <t>OPCIONALES (2)</t>
  </si>
  <si>
    <t>PERSONALES</t>
  </si>
  <si>
    <t>RELIGIÓN</t>
  </si>
  <si>
    <t>FAMILIA</t>
  </si>
  <si>
    <t>COMUNIDAD</t>
  </si>
  <si>
    <t>ESCUELA O TRABAJO</t>
  </si>
  <si>
    <t>IDENTIDAD NACIONAL</t>
  </si>
  <si>
    <t>CAMPISMO</t>
  </si>
  <si>
    <t>PIONERISMO</t>
  </si>
  <si>
    <t>ESPECIALIDADES (ACTIVIDADES)</t>
  </si>
  <si>
    <t>EXPLORACIÓN</t>
  </si>
  <si>
    <t>LEY Y PROMESA</t>
  </si>
  <si>
    <t>CONSERVACIÓN</t>
  </si>
  <si>
    <t>DESARROLLO CORPORAL</t>
  </si>
  <si>
    <t>DESARROLLO CULTURAL</t>
  </si>
  <si>
    <t>DESARROLLO OCUPACIONAL</t>
  </si>
  <si>
    <t>DESARROLLO SOCIAL</t>
  </si>
  <si>
    <t>DESARROLLO ESPIRITUAL</t>
  </si>
  <si>
    <t>LIDERAZGO</t>
  </si>
  <si>
    <t>INTEGRANTES</t>
  </si>
  <si>
    <t>CARGO</t>
  </si>
  <si>
    <t>FECHA DE NACIMIENTO</t>
  </si>
  <si>
    <t>FECHA DE INGRESO (SCOUT)</t>
  </si>
  <si>
    <t>FECHA DE INGRESO (UNIDAD)</t>
  </si>
  <si>
    <t>EDAD</t>
  </si>
  <si>
    <t>E</t>
  </si>
  <si>
    <t>F</t>
  </si>
  <si>
    <t>M</t>
  </si>
  <si>
    <t>A</t>
  </si>
  <si>
    <t>J</t>
  </si>
  <si>
    <t>S</t>
  </si>
  <si>
    <t>O</t>
  </si>
  <si>
    <t>N</t>
  </si>
  <si>
    <t>D</t>
  </si>
  <si>
    <t>TIEMPO EN EL GRUPO (MESES)</t>
  </si>
  <si>
    <t>LEY</t>
  </si>
  <si>
    <t>PROMESA</t>
  </si>
  <si>
    <t>UNIFORME SCOUT</t>
  </si>
  <si>
    <t>INTROSPECCIÓN (COMPROMISO INICIAL)</t>
  </si>
  <si>
    <t>CAMPISMO ELEMENTAL</t>
  </si>
  <si>
    <t>PIONERISMO ELEMENTAL</t>
  </si>
  <si>
    <t>EXPLORACIÓN ELEMENTAL</t>
  </si>
  <si>
    <t>CONSERVACIONISMO ELEMENTAL</t>
  </si>
  <si>
    <t>NOCHES DE VIDA AL AIRE LIBRE (3 NOCHES)</t>
  </si>
  <si>
    <t>CONCURSO DE ACCIÓN COMUNITARIA (BUENAS ACCIONES)</t>
  </si>
  <si>
    <t>FECHA DE PROMESA</t>
  </si>
  <si>
    <t>FECHA DE ENTREGA</t>
  </si>
  <si>
    <t>ACTIVIDADES BÁSICAS (12 Cualquier área)</t>
  </si>
  <si>
    <t>ACTIVIDADES OPCIONALES (9 Cualquier área)</t>
  </si>
  <si>
    <t>ESPECIALIDADES (1 BRONCE)</t>
  </si>
  <si>
    <t>ESPECIALIDADES (1 PLATA)</t>
  </si>
  <si>
    <t>ACCIÓN COMUNITARIA (4 CRÉDITOS)</t>
  </si>
  <si>
    <t>VIDA DE GRUPO (1 CAMPAMENTO)</t>
  </si>
  <si>
    <t>VIDA DE GRUPO (1 PEREGRINAJE)</t>
  </si>
  <si>
    <t>VIDA DE GRUPO (1 PROYECTO DE SERVICIO)</t>
  </si>
  <si>
    <t>CICLOS INSTITUCIONALES (1 ACTIVIDAD Cualquier nivel) DISTRITAL</t>
  </si>
  <si>
    <t>CICLOS INSTITUCIONALES (1 ACTIVIDAD Cualquier nivel) REGIONAL</t>
  </si>
  <si>
    <t>CICLOS INSTITUCIONALES (1 ACTIVIDAD Cualquier nivel) NACIONAL</t>
  </si>
  <si>
    <t>CURSOS Y TALLERES (HORQUETA EN BRONCE)</t>
  </si>
  <si>
    <t>NOCHES DE VIDA AL AIRE LIBRE (7 NOCHES)</t>
  </si>
  <si>
    <t>CONCURSO DE VIDA AL AIRE LIBRE (NIVEL BRONCE)</t>
  </si>
  <si>
    <t>CONCURSO DE ACCIÓN COMUNITARIA (NIVEL BRONCE)</t>
  </si>
  <si>
    <t>ACTIVIDADES BÁSICAS (9 Cualquier área)</t>
  </si>
  <si>
    <t>ACTIVIDADES OPCIONALES (6 Cualquier área)</t>
  </si>
  <si>
    <t>ACCIÓN COMUNITARIA (8 CRÉDITOS)</t>
  </si>
  <si>
    <t>CICLOS INSTITUCIONALES (2 ACTIVIDAD Cualquier nivel) DISTRITAL</t>
  </si>
  <si>
    <t>CICLOS INSTITUCIONALES (2 ACTIVIDADES Cualquier nivel) REGIONAL</t>
  </si>
  <si>
    <t>CICLOS INSTITUCIONALES (2 ACTIVIDADES Cualquier nivel) NACIONAL</t>
  </si>
  <si>
    <t>CURSOS Y TALLERES (REMO EN PLATA)</t>
  </si>
  <si>
    <t>NOCHES DE VIDA AL AIRE LIBRE (10 NOCHES)</t>
  </si>
  <si>
    <t>CONCURSO DE VIDA AL AIRE LIBRE (NIVEL PLATA)</t>
  </si>
  <si>
    <t>CONCURSO DE ACCIÓN COMUNITARIA (NIVEL PLATA)</t>
  </si>
  <si>
    <t>ACTIVIDADES PERSONALES (3 De su propia creación)</t>
  </si>
  <si>
    <t>ESPECIALIDADES (1 ORO)</t>
  </si>
  <si>
    <t>ACCIÓN COMUNITARIA (10 CRÉDITOS)</t>
  </si>
  <si>
    <t>VIDA DE GRUPO (2 CAMPAMENTOS)</t>
  </si>
  <si>
    <t>VIDA DE GRUPO (2 PEREGRINAJES)</t>
  </si>
  <si>
    <t>CICLOS INSTITUCIONALES (3 ACTIVIDAD Cualquier nivel) DISTRITAL</t>
  </si>
  <si>
    <t>CICLOS INSTITUCIONALES (3 ACTIVIDADES Cualquier nivel) REGIONAL</t>
  </si>
  <si>
    <t>CICLOS INSTITUCIONALES (3 ACTIVIDADES Cualquier nivel) NACIONAL</t>
  </si>
  <si>
    <t>CURSOS Y TALLERES (CANOA EN ORO)</t>
  </si>
  <si>
    <t>NOCHES DE VIDA AL AIRE LIBRE (12 NOCHES)</t>
  </si>
  <si>
    <t>CONCURSO DE VIDA AL AIRE LIBRE (NIVEL ORO)</t>
  </si>
  <si>
    <t>CONCURSO DE ACCIÓN COMUNITARIA (NIVEL ORO)</t>
  </si>
  <si>
    <t>ESPECIALIDADES (2 ORO)</t>
  </si>
  <si>
    <t>ACCIÓN COMUNITARIA (16 CRÉDITOS)</t>
  </si>
  <si>
    <t>VIDA DE GRUPO (3 PEREGRINAJES)</t>
  </si>
  <si>
    <t>NOCHES DE VIDA AL AIRE LIBRE (15 NOCHES)</t>
  </si>
  <si>
    <t>Verbalizar la Ley Scout</t>
  </si>
  <si>
    <t>Oración Scout</t>
  </si>
  <si>
    <t>Promesa</t>
  </si>
  <si>
    <t>Uniforme Scout</t>
  </si>
  <si>
    <t>Introspección (Compromiso Inicial)</t>
  </si>
  <si>
    <t>Campismo elemental</t>
  </si>
  <si>
    <t>Pionerismos elemental</t>
  </si>
  <si>
    <t>Exploración elemental</t>
  </si>
  <si>
    <t>Conservacionismo elemental</t>
  </si>
  <si>
    <t>12 Actividades cualesquiera</t>
  </si>
  <si>
    <t>VERIFICACIÓN</t>
  </si>
  <si>
    <t>9 Actividades cualesquiera</t>
  </si>
  <si>
    <t>9 Actividades cualesquiera adicionales (21 en total)</t>
  </si>
  <si>
    <t>6 Actividades cualesquiera adicionales (15 en total)</t>
  </si>
  <si>
    <t>6 Actividades cualesquiera adicionales (27 en total)</t>
  </si>
  <si>
    <t>9 Actividades cualesquiera adicionales (24 en total)</t>
  </si>
  <si>
    <t>3 Actividades cualesquiera (FECHA DE REALIZACIÓN)</t>
  </si>
  <si>
    <t>Participar en ceremonias de su religión</t>
  </si>
  <si>
    <t>Participar en actividades de su religión</t>
  </si>
  <si>
    <t>Aplicar preceptos de su fé en su vida</t>
  </si>
  <si>
    <t>Mantener contacto con su guía espiritual</t>
  </si>
  <si>
    <t>Planificar proyecto de servicio a su religión</t>
  </si>
  <si>
    <t>Participar en 2 campañas humanitarias</t>
  </si>
  <si>
    <t>Asumir obligaciones en el hogar</t>
  </si>
  <si>
    <t>Dirigir un proyecto en el hogar</t>
  </si>
  <si>
    <t>Promover actividades familiares</t>
  </si>
  <si>
    <t>Mantener armonía en su núcleo familiar</t>
  </si>
  <si>
    <t>Organizar paseo con su núcleo familiar</t>
  </si>
  <si>
    <t>Realizar una actividad de cocina con su familia</t>
  </si>
  <si>
    <t>Intervenir en actividad de la comunidad</t>
  </si>
  <si>
    <t>Participar en mejoramiento de su comunidad</t>
  </si>
  <si>
    <t>Promover creación de centro juvenil</t>
  </si>
  <si>
    <t>Participar en campeonatos dentro de su comunidad</t>
  </si>
  <si>
    <t>Inducir a jóvenes a tomar cursos de mejoramiento personal</t>
  </si>
  <si>
    <t>Planificar un servicio para mejorar un sector de su comunidad</t>
  </si>
  <si>
    <t>Mejorar rendimiento académico en 1 punto</t>
  </si>
  <si>
    <t>Aumentar productividad en su trabajo en 5%</t>
  </si>
  <si>
    <t>Servir de facilitador a un compañero de estudios</t>
  </si>
  <si>
    <t>Crear un club de estudio</t>
  </si>
  <si>
    <t>Proponer una mejora en sistema de trabajo</t>
  </si>
  <si>
    <t>Aprender reglas de seguridad industrial</t>
  </si>
  <si>
    <t>Integrarse a la Comunidad</t>
  </si>
  <si>
    <t>Realizar investigaciones sobre sus raíces históricas</t>
  </si>
  <si>
    <t>Buscar información sobre los cambios en su país</t>
  </si>
  <si>
    <t>Conocer y verbalizar zona histórica de su región</t>
  </si>
  <si>
    <t>Enumerar sus deberes y derechos ciudadanos</t>
  </si>
  <si>
    <t>Desmostrar el conocimiento sobre ceremonias a símbolos patrios</t>
  </si>
  <si>
    <t>Ejecutar técnicas básicas de campismo</t>
  </si>
  <si>
    <t>Participar en un curso de vivencia al aire libre</t>
  </si>
  <si>
    <t>Tomar un curso de rescate y salvamento</t>
  </si>
  <si>
    <t>Adquirir técnicas básicas de primeros auxilios</t>
  </si>
  <si>
    <t>Servir de sinodal de campismo a las unidades intermedias</t>
  </si>
  <si>
    <t>Servir de sinodal de primeros auxilios a las unidades menores</t>
  </si>
  <si>
    <t>Ejecutar los nudos: rizo plano, as de guía, margarita y vuelta escota</t>
  </si>
  <si>
    <t>Elaborar construcciones de campamento</t>
  </si>
  <si>
    <t>Ejecutar 3 amarres y 10 nudos</t>
  </si>
  <si>
    <t>Armar un refugio natural y organizar su morral</t>
  </si>
  <si>
    <t>Demostrar el correcto uso de herramientas</t>
  </si>
  <si>
    <t>Enseñar 10 nudos y 3 amarres</t>
  </si>
  <si>
    <t>Tomar un curso de especialización</t>
  </si>
  <si>
    <t>Participar en un seminario de actividades rover</t>
  </si>
  <si>
    <t>Tomar un curso de nuevas tecnologías</t>
  </si>
  <si>
    <t>Se reune con profesionales de distintas áreas</t>
  </si>
  <si>
    <t>Planificar, organizar y ejecutar 2 actividades rover</t>
  </si>
  <si>
    <t>Demostrar alcance de nuevas tecnologías</t>
  </si>
  <si>
    <t>Participar en 2 excursiones a sitios  no explorados</t>
  </si>
  <si>
    <t>Orientarse por medios no convencionales</t>
  </si>
  <si>
    <t>Conocer el uso de la rosa de los vientos</t>
  </si>
  <si>
    <t>Diseñar o acompañar  la caminata de un joven de su unidad</t>
  </si>
  <si>
    <t>Diseñar y realizar excursión a una zona no explorada</t>
  </si>
  <si>
    <t>Tomar un curso de montañismo o similar</t>
  </si>
  <si>
    <t>Participar en discusiones de Ley y Promesa Scout</t>
  </si>
  <si>
    <t>Participar en discusiones del libro "Roverismo hacia el éxito"</t>
  </si>
  <si>
    <t>Servir como sinodal en las unidades menores</t>
  </si>
  <si>
    <t>Asistir regularente a las actividades</t>
  </si>
  <si>
    <t>Asumir un cargo dentro del consejo de su unidad (1 año)</t>
  </si>
  <si>
    <t>Intervenir en la planificación de actividades</t>
  </si>
  <si>
    <t>Participar en campañas de reforestación</t>
  </si>
  <si>
    <t>Promover la participación en cursos de conservación</t>
  </si>
  <si>
    <t>Participar en proyecto de mejora del medio ambiente</t>
  </si>
  <si>
    <t>Identificar recursos para mejorar el medio ambiente</t>
  </si>
  <si>
    <t>Diseñar y elaborar mural o grafitti alegórico al conservacionismo</t>
  </si>
  <si>
    <t>Estudiar materiales reciclabes del sector que habita</t>
  </si>
  <si>
    <t>Realizar actividad al aire libre</t>
  </si>
  <si>
    <t>Promocionar un campeonato deportivo</t>
  </si>
  <si>
    <t>Mejorar su fortaleza física mediante actividades corporales</t>
  </si>
  <si>
    <t>Planificar y ejecutar como ejercitarse diariamente</t>
  </si>
  <si>
    <t>Participar en 2 excursiones donde se demuestre su fortaleza física</t>
  </si>
  <si>
    <t>Preparar y dictar charla de cómo mantenerse sano</t>
  </si>
  <si>
    <t>Promover 2 salidas a museo, sitios históricos, parques, exposiciones</t>
  </si>
  <si>
    <t>Realizar foro o charla de actividad cultural</t>
  </si>
  <si>
    <t>Diseñar y ejecutar una representación teatral de valores Scouts</t>
  </si>
  <si>
    <t>Diseñar y ejecutar cine-for</t>
  </si>
  <si>
    <t>Participar en evento cultural</t>
  </si>
  <si>
    <t>Participar en 2 cursos artesanales</t>
  </si>
  <si>
    <t>Practicar un oficio</t>
  </si>
  <si>
    <t>Inducir a un joven desocupado a integrarse a una labor</t>
  </si>
  <si>
    <t>Exponer normas de seguridad industrial</t>
  </si>
  <si>
    <t>Investigar posibilidades de mejorar su trabajo</t>
  </si>
  <si>
    <t>Asumir responsabilidad de su formación</t>
  </si>
  <si>
    <t>Mantener documentación personal vigente</t>
  </si>
  <si>
    <t>Dar a conocer a su Grupo en la comunidad</t>
  </si>
  <si>
    <t>Integrar a los miembros del Clan en actividades con amigos no Scouts</t>
  </si>
  <si>
    <t>Conocer y practicar normas de buena conducta</t>
  </si>
  <si>
    <t>Participar en 3 noches Rovers o en 1 evento Nacional</t>
  </si>
  <si>
    <t>Participar en un servicio en los campamentos de las unidades intermedias</t>
  </si>
  <si>
    <t>Inducir a miembros de su Grupo a participar en servicios de su iglesia</t>
  </si>
  <si>
    <t>Participar en charla sobre mística y Espíritu Scout</t>
  </si>
  <si>
    <t>Participar en convivencias y encuentros con otros clanes</t>
  </si>
  <si>
    <t>Realizar actividad de reflexión personal</t>
  </si>
  <si>
    <t>Demostrar los principios de su fé</t>
  </si>
  <si>
    <t>Planificar formas de superación personal</t>
  </si>
  <si>
    <t>Dirigir una mesa redonda o foro</t>
  </si>
  <si>
    <t>Participar en la programación de las actividades</t>
  </si>
  <si>
    <t>Participar en curso de toma de desiciones</t>
  </si>
  <si>
    <t>Organizar y dirigir 3 noches Rovers</t>
  </si>
  <si>
    <t>Dirigir actividad de comunicación</t>
  </si>
  <si>
    <t>Realizar curso de planificación y programación</t>
  </si>
  <si>
    <t>Actuar como evangelizador</t>
  </si>
  <si>
    <t>Conocer dogmas de otras religiones</t>
  </si>
  <si>
    <t>Participar en servicio a su religión</t>
  </si>
  <si>
    <t>Planificar y ejecutar actividades de introspección</t>
  </si>
  <si>
    <t>Interesarse por las congregaciones de su religión</t>
  </si>
  <si>
    <t>Fomentar paseos con niños de su religión</t>
  </si>
  <si>
    <t>Participar en convivencias familiares</t>
  </si>
  <si>
    <t>Inducir a sus familiares a tomar cursos de autoestima y relaciones humanas</t>
  </si>
  <si>
    <t>Orientar a un familiar o amigo con problemas de conducta</t>
  </si>
  <si>
    <t>Realizar actividad con valores familiares</t>
  </si>
  <si>
    <t>Organizar actividad con su familia cercana</t>
  </si>
  <si>
    <t>Inducir a su familia a participar en el Grupo Scout</t>
  </si>
  <si>
    <t>Ejecutar un servicio para mejorar un sector de su comunidad</t>
  </si>
  <si>
    <t>Defender el desarrollo de la naturaleza</t>
  </si>
  <si>
    <t>Defender áreas comunes</t>
  </si>
  <si>
    <t>Participar en campaña de vacunación</t>
  </si>
  <si>
    <t>Crear campaña de mejoramiento de calidad de vida</t>
  </si>
  <si>
    <t>Realizar evento e invitar autoridades civiles</t>
  </si>
  <si>
    <t>Tomar una materia o curso de verano</t>
  </si>
  <si>
    <t>Promover cursos de crecimiento personal</t>
  </si>
  <si>
    <t>Organizar foros, seminarios o charlas</t>
  </si>
  <si>
    <t>Promover y participar en la identificación del trabajo</t>
  </si>
  <si>
    <t>Organizar campeonatos deportivos o culturales</t>
  </si>
  <si>
    <t>Organizar cooperativa para formar o mejorar biblioteca</t>
  </si>
  <si>
    <t>Participar en cursos, seminarios o eventos que refuerzan la venezolanidad</t>
  </si>
  <si>
    <t>Actuar como guía histórico en su región</t>
  </si>
  <si>
    <t>Asumir la defensa de sus derechos y obligaciones</t>
  </si>
  <si>
    <t>Participar en elecciones nacionales o regionales</t>
  </si>
  <si>
    <t>Participar en campañas en pro de la identidad nacional</t>
  </si>
  <si>
    <t>Elaborar y ejecutar un proyecto de servicio a una comunidad indígena</t>
  </si>
  <si>
    <t>Participar en curso de supervivencia</t>
  </si>
  <si>
    <t>Demostrar lo aprendido en curso de campismo</t>
  </si>
  <si>
    <t>Especializarse en un curso de rescate y salvamento</t>
  </si>
  <si>
    <t>Demostrar lo aprendido en primeros auxilios</t>
  </si>
  <si>
    <t>Preparar y dictar charlas de primeros auxilios a las unidades intermedias</t>
  </si>
  <si>
    <t>Preparar y dictar charlas de rescate y salvamento a las unidades intermedias</t>
  </si>
  <si>
    <t>Actuar como instructor en ramas menores en la construcción de una torre de observación (4 m)</t>
  </si>
  <si>
    <t>Elaborar exposición con maquetas de un campamento</t>
  </si>
  <si>
    <t>Elaborar campamento de pionerismo francés</t>
  </si>
  <si>
    <t>Tomar curso de cocina primitiva</t>
  </si>
  <si>
    <t>Elaborar en campamento 3 comidas sin utencilios</t>
  </si>
  <si>
    <t>Asumir el cargo de intendente por 6 meses</t>
  </si>
  <si>
    <t>Demostar lo aprendido en su especialidad</t>
  </si>
  <si>
    <t>Especializarse en un área de comunicación</t>
  </si>
  <si>
    <t>Participar en la planificación de un evento regional</t>
  </si>
  <si>
    <t>Crear y enseñar un tipo de comunicación</t>
  </si>
  <si>
    <t>Planificar y ejecutar una actividad del Jamboree del Aire</t>
  </si>
  <si>
    <t>Planificar y ejecutar actividades multitudinarias de su rama</t>
  </si>
  <si>
    <t>Visitar 2 poblaciones desconocidas por él</t>
  </si>
  <si>
    <t>Ayudar en actividades de exploración en unidades intermedias</t>
  </si>
  <si>
    <t>Conocer 3 formas de comunicación no convencionales</t>
  </si>
  <si>
    <t>Buscar sitios de adecuados de campamento</t>
  </si>
  <si>
    <t>Participar en grupo excursionista</t>
  </si>
  <si>
    <t>Promover 2 actividades de exploración con otros clanes</t>
  </si>
  <si>
    <t>Servir de tutor de 2 jóvenes que inician la rama</t>
  </si>
  <si>
    <t>Escoger y discutir un libro no Scout o película de crecimiento personal</t>
  </si>
  <si>
    <t>Prestar un servicio a su Grupo</t>
  </si>
  <si>
    <t>Participar en un curso de autoestima</t>
  </si>
  <si>
    <t>Formar parte del equipo de servicio en un curso de autoestima</t>
  </si>
  <si>
    <t>Respetar y acatar normas de su grupo y unidad</t>
  </si>
  <si>
    <t>Tomar curso de prevención de incendios forestales</t>
  </si>
  <si>
    <t>Involucrar a la comunidad y unidad en proyecto ecológico</t>
  </si>
  <si>
    <t>Prepara y dictar charla de prevención de incendios a las unidades menores</t>
  </si>
  <si>
    <t>Estudiar y dictar charla sobre flora y fauna de Venezuela</t>
  </si>
  <si>
    <t>Diseñar y llevar a cabo camaña de reciclaje</t>
  </si>
  <si>
    <t>Elaborar proyecto de cómo preservar nuestra etnias</t>
  </si>
  <si>
    <t>Formar parte de un equipo deportivo</t>
  </si>
  <si>
    <t>Participar en un curso de supervivencia, rapel, escalada libre, etc.</t>
  </si>
  <si>
    <t>Tomar curso de rescate y salvamento</t>
  </si>
  <si>
    <t>Servir como sinodal en 2 actividades corporales de las unidades menores</t>
  </si>
  <si>
    <t>Crear actividades de bienestar físico</t>
  </si>
  <si>
    <t>Conocer su organismo y conservar un buen estado físico</t>
  </si>
  <si>
    <t>Inducir a miembros a participar en cursos artesanales</t>
  </si>
  <si>
    <t>Promover una exposición artesanal en su grupo</t>
  </si>
  <si>
    <t>Organizar un concierto en el grupo e invitar a organizaciones juveniles</t>
  </si>
  <si>
    <t>Organizar una fogata e invitar organizaciones juveniles</t>
  </si>
  <si>
    <t>Adquirir habilidades en una actividad artesanal</t>
  </si>
  <si>
    <t>Organizar y participar en una feria artesanal en su grupo</t>
  </si>
  <si>
    <t>Ayudar a un compañero a conseguir empleo</t>
  </si>
  <si>
    <t>Tomar un curso (Computación. Electrónica, etc.)</t>
  </si>
  <si>
    <t>Elaborar metas para superar el puesto que ocupa en el trabajo</t>
  </si>
  <si>
    <t>Diseñar un proyecto para superar su producción</t>
  </si>
  <si>
    <t>Identificar medios para adquirir habilidades</t>
  </si>
  <si>
    <t>Demostrar sus capacidades personales para desempeñar labores</t>
  </si>
  <si>
    <t>Visitar y comprenter instituciones nacionales (Ministerios, Congreso, etc.)</t>
  </si>
  <si>
    <t>Integrarse a grupos de bienestar comunitario</t>
  </si>
  <si>
    <t>Participar en actividades del Distrito</t>
  </si>
  <si>
    <t>Participar por 1 mes en actividades de otro clan</t>
  </si>
  <si>
    <t>Vincularse a proyectos de integración de los países</t>
  </si>
  <si>
    <t>Mantener contacto con miembros de la hemandad Scout mundiales</t>
  </si>
  <si>
    <t>Ayudar a amigos a superar problemas</t>
  </si>
  <si>
    <t>Realizar servicio a la comunidad</t>
  </si>
  <si>
    <t>Preparar espiritualmente a un hermano Scout novato en la rama</t>
  </si>
  <si>
    <t>Escoger un grupo afín para un mejor crecimiento espiritual</t>
  </si>
  <si>
    <t>Participar en un retiro espiritual de su dogma de fé</t>
  </si>
  <si>
    <t>Participar en 2 servicios espirituales de otra comunidad</t>
  </si>
  <si>
    <t>Organizar un foro con especialistas</t>
  </si>
  <si>
    <t>Proponer actividades donde se manifieste el liderazgo</t>
  </si>
  <si>
    <t>Participar en la programación de actividades de las unidades menores</t>
  </si>
  <si>
    <t>Dirigir una actividad artística</t>
  </si>
  <si>
    <t>Planificar, dirigir y desarrollar un servicio a la comunidad</t>
  </si>
  <si>
    <t>Tomar curso de idiomas o computación</t>
  </si>
  <si>
    <t>BRONCE</t>
  </si>
  <si>
    <t>PLATA</t>
  </si>
  <si>
    <t>ORO</t>
  </si>
  <si>
    <t>HORQUETA BRONCE</t>
  </si>
  <si>
    <t>REMO PLATA</t>
  </si>
  <si>
    <t>CANOA ORO</t>
  </si>
  <si>
    <t>NOCHES</t>
  </si>
  <si>
    <t>CAMPAMENTOS</t>
  </si>
  <si>
    <t>PEREGRINAJES</t>
  </si>
  <si>
    <t>PROYECTO CONTINUADO (3 MESES)</t>
  </si>
  <si>
    <t>PROYECTO CONTINUADO (6 MESES)</t>
  </si>
  <si>
    <t>PROYECTO CONTINUADO (9 MESES)</t>
  </si>
  <si>
    <t>PROYECTO CONTINUADO (12 MESES)</t>
  </si>
  <si>
    <t>ACTIVIDADES A NIVEL DE GRUPO</t>
  </si>
  <si>
    <t>ACTIVIDADES A NIVEL DISTRITAL</t>
  </si>
  <si>
    <t>ACTIVIDADES A NIVEL REGIONAL</t>
  </si>
  <si>
    <t>ACTIVIDADES A NIVEL NACIONAL</t>
  </si>
  <si>
    <t>CREDITOS</t>
  </si>
  <si>
    <t>TOTAL</t>
  </si>
  <si>
    <t>9 Actividades cualesquiera adicionales (33 en total)</t>
  </si>
  <si>
    <t>Rover</t>
  </si>
  <si>
    <t>(4 A 6 SEMANAS)</t>
  </si>
  <si>
    <t>(14 MESES)</t>
  </si>
  <si>
    <t>(6 A 8 MESES)</t>
  </si>
  <si>
    <t>ASOCIACIÓN DE SCOUT DE VENEZUELA / REGIÓN MIRANDA / DISTRITO PLAZA</t>
  </si>
  <si>
    <t>ASOCIACION DE SCOUT  DE VENEZUELA/ REGION MIRANDA/ DISTRITO PLAZA</t>
  </si>
  <si>
    <t>X</t>
  </si>
  <si>
    <t>x</t>
  </si>
  <si>
    <t>Fecha que se Entrego</t>
  </si>
  <si>
    <t>Fecha que corresponde</t>
  </si>
  <si>
    <t>Describir el proceso productivo al cual se ha vinculado</t>
  </si>
  <si>
    <t>EXPEDICIONARIO</t>
  </si>
  <si>
    <t>ROVER CIUDADANO</t>
  </si>
  <si>
    <t>PRECURSOR</t>
  </si>
  <si>
    <t>DESCUBRIDOR</t>
  </si>
  <si>
    <t>FUNDADOR</t>
  </si>
  <si>
    <t>GRUPO SCOUT ORION 84</t>
  </si>
  <si>
    <t>Frank Chavez</t>
  </si>
  <si>
    <t>Adrian Moreno</t>
  </si>
  <si>
    <t>UNIDAD DE CLAN MASCULINO</t>
  </si>
  <si>
    <t>PRECRUSOR</t>
  </si>
  <si>
    <t>Dia Mundial de las Playas</t>
  </si>
  <si>
    <t>Ciencias y tecnologia: Informatica</t>
  </si>
  <si>
    <t>Comunicación Social: Preparacion Profesional</t>
  </si>
  <si>
    <t>Campamento Grupal</t>
  </si>
  <si>
    <t>Acciones por la Paz</t>
  </si>
  <si>
    <t>Jota Joti</t>
  </si>
  <si>
    <t>Camapento Grupal</t>
  </si>
  <si>
    <t xml:space="preserve">                                                </t>
  </si>
  <si>
    <t>Peregrinaje Historico</t>
  </si>
  <si>
    <t>Arbolizacion</t>
  </si>
  <si>
    <t>Williams Rincones</t>
  </si>
  <si>
    <t>UNIDAD DE CLAN FEMENINO</t>
  </si>
  <si>
    <t>Intendente</t>
  </si>
  <si>
    <t>Tesorero</t>
  </si>
  <si>
    <t>Comunicaciones</t>
  </si>
  <si>
    <t>campamento Grupal agosto 2018</t>
  </si>
  <si>
    <t>congreso comunidad de rovers 2019</t>
  </si>
  <si>
    <t>villamoster 2019</t>
  </si>
  <si>
    <t>dia Mundial de las Playas 2019</t>
  </si>
  <si>
    <t>ASOCIACION DE SCOUT  DE VENEZUELA/ REGION MIRANDA/ DISTRITO GUARENAS - GUATIRE</t>
  </si>
  <si>
    <t>UNIDAD DE CLAN</t>
  </si>
  <si>
    <t>Programa</t>
  </si>
  <si>
    <t>Secretario</t>
  </si>
  <si>
    <t>4/5/6 de Nov. 2022</t>
  </si>
  <si>
    <t>Juan Luis Laya Rojas</t>
  </si>
  <si>
    <t>Tecnoligia / Informatica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</si>
</sst>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 * #,##0.00_ ;_ * \-#,##0.00_ ;_ * &quot;-&quot;??_ ;_ @_ "/>
    <numFmt numFmtId="165" formatCode="dd/mm/yyyy;@"/>
    <numFmt numFmtId="166" formatCode="dd/mm"/>
  </numFmts>
  <fonts count="27" x14ac:knownFonts="1">
    <font>
      <sz val="11"/>
      <color rgb="FF000000"/>
      <name val="Calibri"/>
      <family val="2"/>
      <scheme val="minor"/>
    </font>
    <font>
      <sz val="12"/>
      <color rgb="FF000000"/>
      <name val="Times New Roman"/>
      <family val="1"/>
    </font>
    <font>
      <sz val="14"/>
      <color rgb="FF000000"/>
      <name val="Times New Roman"/>
      <family val="1"/>
    </font>
    <font>
      <sz val="10"/>
      <color rgb="FF000000"/>
      <name val="Times New Roman"/>
      <family val="1"/>
    </font>
    <font>
      <b/>
      <sz val="24"/>
      <color rgb="FF000000"/>
      <name val="Times New Roman"/>
      <family val="1"/>
    </font>
    <font>
      <sz val="20"/>
      <color rgb="FF000000"/>
      <name val="Times New Roman"/>
      <family val="1"/>
    </font>
    <font>
      <b/>
      <sz val="20"/>
      <color rgb="FFFFFFFF"/>
      <name val="Times New Roman"/>
      <family val="1"/>
    </font>
    <font>
      <b/>
      <sz val="20"/>
      <color rgb="FF000000"/>
      <name val="Times New Roman"/>
      <family val="1"/>
    </font>
    <font>
      <i/>
      <sz val="14"/>
      <color rgb="FF000000"/>
      <name val="Times New Roman"/>
      <family val="1"/>
    </font>
    <font>
      <b/>
      <sz val="14"/>
      <color rgb="FF000000"/>
      <name val="Times New Roman"/>
      <family val="1"/>
    </font>
    <font>
      <b/>
      <sz val="70"/>
      <color rgb="FF000000"/>
      <name val="Times New Roman"/>
      <family val="1"/>
    </font>
    <font>
      <sz val="90"/>
      <color rgb="FF000000"/>
      <name val="Times New Roman"/>
      <family val="1"/>
    </font>
    <font>
      <b/>
      <sz val="14"/>
      <color rgb="FFFFFFFF"/>
      <name val="Times New Roman"/>
      <family val="1"/>
    </font>
    <font>
      <b/>
      <sz val="24"/>
      <color rgb="FFFFFFFF"/>
      <name val="Times New Roman"/>
      <family val="1"/>
    </font>
    <font>
      <b/>
      <sz val="24"/>
      <color rgb="FFFFFFFF"/>
      <name val="Times New Roman"/>
      <family val="1"/>
    </font>
    <font>
      <b/>
      <sz val="12"/>
      <color rgb="FFFFFFFF"/>
      <name val="Times New Roman"/>
      <family val="1"/>
    </font>
    <font>
      <b/>
      <sz val="14"/>
      <color rgb="FFFFFFFF"/>
      <name val="Times New Roman"/>
      <family val="1"/>
    </font>
    <font>
      <sz val="14"/>
      <color rgb="FFFFFFFF"/>
      <name val="Times New Roman"/>
      <family val="1"/>
    </font>
    <font>
      <b/>
      <sz val="16"/>
      <color rgb="FF000000"/>
      <name val="Times New Roman"/>
      <family val="1"/>
    </font>
    <font>
      <sz val="24"/>
      <color rgb="FF000000"/>
      <name val="Times New Roman"/>
      <family val="1"/>
    </font>
    <font>
      <i/>
      <sz val="12"/>
      <color rgb="FF000000"/>
      <name val="Times New Roman"/>
      <family val="1"/>
    </font>
    <font>
      <sz val="16"/>
      <color rgb="FF000000"/>
      <name val="Times New Roman"/>
      <family val="1"/>
    </font>
    <font>
      <sz val="14"/>
      <color rgb="FFFF0000"/>
      <name val="Times New Roman"/>
      <family val="1"/>
    </font>
    <font>
      <sz val="11"/>
      <color rgb="FF000000"/>
      <name val="Calibri"/>
      <family val="2"/>
      <scheme val="minor"/>
    </font>
    <font>
      <sz val="14"/>
      <color rgb="FFFFFF00"/>
      <name val="Times New Roman"/>
      <family val="1"/>
    </font>
    <font>
      <sz val="14"/>
      <color theme="0"/>
      <name val="Times New Roman"/>
      <family val="1"/>
    </font>
    <font>
      <sz val="14"/>
      <name val="Times New Roman"/>
      <family val="1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00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rgb="FFB8CCE4"/>
        <bgColor indexed="64"/>
      </patternFill>
    </fill>
    <fill>
      <patternFill patternType="solid">
        <fgColor rgb="FFE5B8B7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C0C0C0"/>
        <bgColor indexed="64"/>
      </patternFill>
    </fill>
    <fill>
      <patternFill patternType="solid">
        <fgColor rgb="FFFFCC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DBE5F1"/>
        <bgColor indexed="64"/>
      </patternFill>
    </fill>
    <fill>
      <patternFill patternType="solid">
        <fgColor rgb="FF974806"/>
        <bgColor indexed="64"/>
      </patternFill>
    </fill>
    <fill>
      <patternFill patternType="solid">
        <fgColor rgb="FFBFBFBF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C66"/>
        <bgColor indexed="64"/>
      </patternFill>
    </fill>
    <fill>
      <patternFill patternType="solid">
        <fgColor rgb="FF1F497D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1" tint="4.9989318521683403E-2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7030A0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0" tint="-0.249977111117893"/>
        <bgColor indexed="64"/>
      </patternFill>
    </fill>
  </fills>
  <borders count="73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/>
      <bottom/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 style="medium">
        <color auto="1"/>
      </bottom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medium">
        <color auto="1"/>
      </left>
      <right/>
      <top/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/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auto="1"/>
      </left>
      <right/>
      <top/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medium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thin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 style="thin">
        <color auto="1"/>
      </right>
      <top style="thin">
        <color auto="1"/>
      </top>
      <bottom style="medium">
        <color auto="1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/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</borders>
  <cellStyleXfs count="2">
    <xf numFmtId="0" fontId="0" fillId="0" borderId="0"/>
    <xf numFmtId="9" fontId="23" fillId="0" borderId="0" applyFont="0" applyFill="0" applyBorder="0" applyAlignment="0" applyProtection="0"/>
  </cellStyleXfs>
  <cellXfs count="717">
    <xf numFmtId="0" fontId="0" fillId="0" borderId="0" xfId="0"/>
    <xf numFmtId="0" fontId="1" fillId="2" borderId="0" xfId="0" applyFont="1" applyFill="1" applyAlignment="1" applyProtection="1">
      <alignment horizontal="center" vertic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5" fillId="2" borderId="0" xfId="0" applyFont="1" applyFill="1" applyAlignment="1" applyProtection="1">
      <alignment horizontal="center" vertical="center"/>
      <protection hidden="1"/>
    </xf>
    <xf numFmtId="0" fontId="4" fillId="2" borderId="0" xfId="0" applyFont="1" applyFill="1" applyAlignment="1" applyProtection="1">
      <alignment horizontal="left" vertical="center"/>
      <protection hidden="1"/>
    </xf>
    <xf numFmtId="0" fontId="5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0" fontId="5" fillId="2" borderId="7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vertical="center"/>
      <protection hidden="1"/>
    </xf>
    <xf numFmtId="0" fontId="8" fillId="2" borderId="10" xfId="0" applyFont="1" applyFill="1" applyBorder="1" applyAlignment="1" applyProtection="1">
      <alignment horizontal="center"/>
      <protection hidden="1"/>
    </xf>
    <xf numFmtId="0" fontId="2" fillId="2" borderId="10" xfId="0" applyFont="1" applyFill="1" applyBorder="1" applyAlignment="1" applyProtection="1">
      <alignment horizontal="center" wrapText="1"/>
      <protection hidden="1"/>
    </xf>
    <xf numFmtId="0" fontId="2" fillId="2" borderId="10" xfId="0" applyFont="1" applyFill="1" applyBorder="1" applyAlignment="1" applyProtection="1">
      <alignment horizontal="center"/>
      <protection hidden="1"/>
    </xf>
    <xf numFmtId="0" fontId="10" fillId="9" borderId="10" xfId="0" applyFont="1" applyFill="1" applyBorder="1" applyAlignment="1" applyProtection="1">
      <alignment textRotation="90"/>
      <protection hidden="1"/>
    </xf>
    <xf numFmtId="0" fontId="11" fillId="2" borderId="11" xfId="0" applyFont="1" applyFill="1" applyBorder="1" applyAlignment="1" applyProtection="1">
      <alignment horizontal="center" vertical="center" textRotation="90"/>
      <protection hidden="1"/>
    </xf>
    <xf numFmtId="0" fontId="5" fillId="9" borderId="0" xfId="0" applyFont="1" applyFill="1" applyAlignment="1" applyProtection="1">
      <alignment vertical="center"/>
      <protection hidden="1"/>
    </xf>
    <xf numFmtId="0" fontId="2" fillId="2" borderId="10" xfId="0" applyFont="1" applyFill="1" applyBorder="1" applyAlignment="1" applyProtection="1">
      <alignment wrapText="1"/>
      <protection hidden="1"/>
    </xf>
    <xf numFmtId="0" fontId="4" fillId="11" borderId="1" xfId="0" applyFont="1" applyFill="1" applyBorder="1" applyProtection="1">
      <protection hidden="1"/>
    </xf>
    <xf numFmtId="0" fontId="4" fillId="11" borderId="2" xfId="0" applyFont="1" applyFill="1" applyBorder="1" applyProtection="1">
      <protection hidden="1"/>
    </xf>
    <xf numFmtId="0" fontId="4" fillId="11" borderId="3" xfId="0" applyFont="1" applyFill="1" applyBorder="1" applyProtection="1">
      <protection hidden="1"/>
    </xf>
    <xf numFmtId="0" fontId="4" fillId="12" borderId="1" xfId="0" applyFont="1" applyFill="1" applyBorder="1" applyProtection="1">
      <protection hidden="1"/>
    </xf>
    <xf numFmtId="0" fontId="4" fillId="12" borderId="2" xfId="0" applyFont="1" applyFill="1" applyBorder="1" applyProtection="1">
      <protection hidden="1"/>
    </xf>
    <xf numFmtId="0" fontId="4" fillId="12" borderId="3" xfId="0" applyFont="1" applyFill="1" applyBorder="1" applyProtection="1">
      <protection hidden="1"/>
    </xf>
    <xf numFmtId="0" fontId="4" fillId="13" borderId="1" xfId="0" applyFont="1" applyFill="1" applyBorder="1" applyProtection="1">
      <protection hidden="1"/>
    </xf>
    <xf numFmtId="0" fontId="4" fillId="13" borderId="2" xfId="0" applyFont="1" applyFill="1" applyBorder="1" applyProtection="1">
      <protection hidden="1"/>
    </xf>
    <xf numFmtId="0" fontId="4" fillId="13" borderId="3" xfId="0" applyFont="1" applyFill="1" applyBorder="1" applyProtection="1">
      <protection hidden="1"/>
    </xf>
    <xf numFmtId="0" fontId="4" fillId="11" borderId="1" xfId="0" applyFont="1" applyFill="1" applyBorder="1" applyAlignment="1" applyProtection="1">
      <alignment vertical="center" wrapText="1"/>
      <protection hidden="1"/>
    </xf>
    <xf numFmtId="0" fontId="4" fillId="11" borderId="3" xfId="0" applyFont="1" applyFill="1" applyBorder="1" applyAlignment="1" applyProtection="1">
      <alignment vertical="center" wrapText="1"/>
      <protection hidden="1"/>
    </xf>
    <xf numFmtId="0" fontId="4" fillId="12" borderId="1" xfId="0" applyFont="1" applyFill="1" applyBorder="1" applyAlignment="1" applyProtection="1">
      <alignment vertical="center" wrapText="1"/>
      <protection hidden="1"/>
    </xf>
    <xf numFmtId="0" fontId="4" fillId="12" borderId="3" xfId="0" applyFont="1" applyFill="1" applyBorder="1" applyAlignment="1" applyProtection="1">
      <alignment vertical="center" wrapText="1"/>
      <protection hidden="1"/>
    </xf>
    <xf numFmtId="0" fontId="4" fillId="13" borderId="1" xfId="0" applyFont="1" applyFill="1" applyBorder="1" applyAlignment="1" applyProtection="1">
      <alignment vertical="center" wrapText="1"/>
      <protection hidden="1"/>
    </xf>
    <xf numFmtId="0" fontId="4" fillId="13" borderId="3" xfId="0" applyFont="1" applyFill="1" applyBorder="1" applyAlignment="1" applyProtection="1">
      <alignment vertical="center" wrapText="1"/>
      <protection hidden="1"/>
    </xf>
    <xf numFmtId="0" fontId="4" fillId="11" borderId="1" xfId="0" applyFont="1" applyFill="1" applyBorder="1" applyAlignment="1" applyProtection="1">
      <alignment vertical="center"/>
      <protection hidden="1"/>
    </xf>
    <xf numFmtId="0" fontId="4" fillId="11" borderId="3" xfId="0" applyFont="1" applyFill="1" applyBorder="1" applyAlignment="1" applyProtection="1">
      <alignment vertical="center"/>
      <protection hidden="1"/>
    </xf>
    <xf numFmtId="0" fontId="4" fillId="12" borderId="1" xfId="0" applyFont="1" applyFill="1" applyBorder="1" applyAlignment="1" applyProtection="1">
      <alignment vertical="center"/>
      <protection hidden="1"/>
    </xf>
    <xf numFmtId="0" fontId="4" fillId="12" borderId="3" xfId="0" applyFont="1" applyFill="1" applyBorder="1" applyAlignment="1" applyProtection="1">
      <alignment vertical="center"/>
      <protection hidden="1"/>
    </xf>
    <xf numFmtId="0" fontId="4" fillId="13" borderId="1" xfId="0" applyFont="1" applyFill="1" applyBorder="1" applyAlignment="1" applyProtection="1">
      <alignment vertical="center"/>
      <protection hidden="1"/>
    </xf>
    <xf numFmtId="0" fontId="4" fillId="13" borderId="3" xfId="0" applyFont="1" applyFill="1" applyBorder="1" applyAlignment="1" applyProtection="1">
      <alignment vertical="center"/>
      <protection hidden="1"/>
    </xf>
    <xf numFmtId="0" fontId="4" fillId="14" borderId="1" xfId="0" applyFont="1" applyFill="1" applyBorder="1" applyAlignment="1" applyProtection="1">
      <alignment vertical="center"/>
      <protection hidden="1"/>
    </xf>
    <xf numFmtId="0" fontId="4" fillId="14" borderId="2" xfId="0" applyFont="1" applyFill="1" applyBorder="1" applyAlignment="1" applyProtection="1">
      <alignment vertical="center"/>
      <protection hidden="1"/>
    </xf>
    <xf numFmtId="0" fontId="4" fillId="14" borderId="3" xfId="0" applyFont="1" applyFill="1" applyBorder="1" applyAlignment="1" applyProtection="1">
      <alignment vertical="center"/>
      <protection hidden="1"/>
    </xf>
    <xf numFmtId="0" fontId="4" fillId="15" borderId="1" xfId="0" applyFont="1" applyFill="1" applyBorder="1" applyAlignment="1" applyProtection="1">
      <alignment vertical="center"/>
      <protection hidden="1"/>
    </xf>
    <xf numFmtId="0" fontId="4" fillId="15" borderId="2" xfId="0" applyFont="1" applyFill="1" applyBorder="1" applyAlignment="1" applyProtection="1">
      <alignment vertical="center"/>
      <protection hidden="1"/>
    </xf>
    <xf numFmtId="0" fontId="4" fillId="15" borderId="3" xfId="0" applyFont="1" applyFill="1" applyBorder="1" applyAlignment="1" applyProtection="1">
      <alignment vertical="center"/>
      <protection hidden="1"/>
    </xf>
    <xf numFmtId="0" fontId="14" fillId="16" borderId="1" xfId="0" applyFont="1" applyFill="1" applyBorder="1" applyAlignment="1" applyProtection="1">
      <alignment vertical="center"/>
      <protection hidden="1"/>
    </xf>
    <xf numFmtId="0" fontId="14" fillId="16" borderId="2" xfId="0" applyFont="1" applyFill="1" applyBorder="1" applyAlignment="1" applyProtection="1">
      <alignment vertical="center"/>
      <protection hidden="1"/>
    </xf>
    <xf numFmtId="0" fontId="14" fillId="16" borderId="3" xfId="0" applyFont="1" applyFill="1" applyBorder="1" applyAlignment="1" applyProtection="1">
      <alignment vertical="center"/>
      <protection hidden="1"/>
    </xf>
    <xf numFmtId="0" fontId="4" fillId="17" borderId="1" xfId="0" applyFont="1" applyFill="1" applyBorder="1" applyAlignment="1" applyProtection="1">
      <alignment vertical="center"/>
      <protection hidden="1"/>
    </xf>
    <xf numFmtId="0" fontId="4" fillId="17" borderId="2" xfId="0" applyFont="1" applyFill="1" applyBorder="1" applyAlignment="1" applyProtection="1">
      <alignment vertical="center"/>
      <protection hidden="1"/>
    </xf>
    <xf numFmtId="0" fontId="4" fillId="17" borderId="3" xfId="0" applyFont="1" applyFill="1" applyBorder="1" applyAlignment="1" applyProtection="1">
      <alignment vertical="center"/>
      <protection hidden="1"/>
    </xf>
    <xf numFmtId="0" fontId="4" fillId="18" borderId="1" xfId="0" applyFont="1" applyFill="1" applyBorder="1" applyAlignment="1" applyProtection="1">
      <alignment vertical="center"/>
      <protection hidden="1"/>
    </xf>
    <xf numFmtId="0" fontId="4" fillId="18" borderId="2" xfId="0" applyFont="1" applyFill="1" applyBorder="1" applyAlignment="1" applyProtection="1">
      <alignment vertical="center"/>
      <protection hidden="1"/>
    </xf>
    <xf numFmtId="0" fontId="4" fillId="18" borderId="3" xfId="0" applyFont="1" applyFill="1" applyBorder="1" applyAlignment="1" applyProtection="1">
      <alignment vertical="center"/>
      <protection hidden="1"/>
    </xf>
    <xf numFmtId="0" fontId="9" fillId="18" borderId="10" xfId="0" applyFont="1" applyFill="1" applyBorder="1" applyAlignment="1" applyProtection="1">
      <alignment vertical="center"/>
      <protection hidden="1"/>
    </xf>
    <xf numFmtId="0" fontId="4" fillId="2" borderId="10" xfId="0" applyFont="1" applyFill="1" applyBorder="1" applyAlignment="1" applyProtection="1">
      <alignment vertical="center"/>
      <protection hidden="1"/>
    </xf>
    <xf numFmtId="0" fontId="7" fillId="2" borderId="0" xfId="0" applyFont="1" applyFill="1" applyAlignment="1" applyProtection="1">
      <alignment vertical="center"/>
      <protection hidden="1"/>
    </xf>
    <xf numFmtId="0" fontId="8" fillId="2" borderId="14" xfId="0" applyFont="1" applyFill="1" applyBorder="1" applyAlignment="1" applyProtection="1">
      <alignment horizontal="center"/>
      <protection hidden="1"/>
    </xf>
    <xf numFmtId="0" fontId="2" fillId="2" borderId="14" xfId="0" applyFont="1" applyFill="1" applyBorder="1" applyAlignment="1" applyProtection="1">
      <alignment horizontal="center" wrapText="1"/>
      <protection hidden="1"/>
    </xf>
    <xf numFmtId="0" fontId="2" fillId="2" borderId="11" xfId="0" applyFont="1" applyFill="1" applyBorder="1" applyAlignment="1" applyProtection="1">
      <alignment horizontal="center"/>
      <protection hidden="1"/>
    </xf>
    <xf numFmtId="0" fontId="2" fillId="0" borderId="5" xfId="0" applyFont="1" applyBorder="1" applyAlignment="1" applyProtection="1">
      <alignment horizontal="center"/>
      <protection hidden="1"/>
    </xf>
    <xf numFmtId="0" fontId="2" fillId="0" borderId="15" xfId="0" applyFont="1" applyBorder="1" applyAlignment="1" applyProtection="1">
      <alignment horizontal="center"/>
      <protection hidden="1"/>
    </xf>
    <xf numFmtId="0" fontId="2" fillId="0" borderId="13" xfId="0" applyFont="1" applyBorder="1" applyAlignment="1" applyProtection="1">
      <alignment horizontal="center"/>
      <protection hidden="1"/>
    </xf>
    <xf numFmtId="0" fontId="2" fillId="0" borderId="16" xfId="0" applyFont="1" applyBorder="1" applyAlignment="1" applyProtection="1">
      <alignment horizontal="center"/>
      <protection hidden="1"/>
    </xf>
    <xf numFmtId="0" fontId="2" fillId="0" borderId="4" xfId="0" applyFont="1" applyBorder="1" applyAlignment="1" applyProtection="1">
      <alignment horizontal="center"/>
      <protection hidden="1"/>
    </xf>
    <xf numFmtId="0" fontId="2" fillId="0" borderId="6" xfId="0" applyFont="1" applyBorder="1" applyAlignment="1" applyProtection="1">
      <alignment horizontal="center"/>
      <protection hidden="1"/>
    </xf>
    <xf numFmtId="0" fontId="2" fillId="0" borderId="17" xfId="0" applyFont="1" applyBorder="1" applyAlignment="1" applyProtection="1">
      <alignment horizontal="center"/>
      <protection hidden="1"/>
    </xf>
    <xf numFmtId="0" fontId="10" fillId="9" borderId="11" xfId="0" applyFont="1" applyFill="1" applyBorder="1" applyAlignment="1" applyProtection="1">
      <alignment textRotation="90"/>
      <protection hidden="1"/>
    </xf>
    <xf numFmtId="0" fontId="2" fillId="0" borderId="14" xfId="0" applyFont="1" applyBorder="1" applyAlignment="1" applyProtection="1">
      <alignment horizontal="center" wrapText="1"/>
      <protection hidden="1"/>
    </xf>
    <xf numFmtId="0" fontId="1" fillId="0" borderId="4" xfId="0" applyFont="1" applyBorder="1" applyAlignment="1" applyProtection="1">
      <alignment horizontal="center" textRotation="90"/>
      <protection hidden="1"/>
    </xf>
    <xf numFmtId="0" fontId="1" fillId="0" borderId="15" xfId="0" applyFont="1" applyBorder="1" applyAlignment="1" applyProtection="1">
      <alignment horizontal="center" textRotation="90"/>
      <protection hidden="1"/>
    </xf>
    <xf numFmtId="0" fontId="1" fillId="0" borderId="13" xfId="0" applyFont="1" applyBorder="1" applyAlignment="1" applyProtection="1">
      <alignment horizontal="center" textRotation="90"/>
      <protection hidden="1"/>
    </xf>
    <xf numFmtId="0" fontId="1" fillId="0" borderId="16" xfId="0" applyFont="1" applyBorder="1" applyAlignment="1" applyProtection="1">
      <alignment horizontal="center" textRotation="90"/>
      <protection hidden="1"/>
    </xf>
    <xf numFmtId="0" fontId="2" fillId="2" borderId="11" xfId="0" applyFont="1" applyFill="1" applyBorder="1" applyAlignment="1" applyProtection="1">
      <alignment horizontal="center" wrapText="1"/>
      <protection hidden="1"/>
    </xf>
    <xf numFmtId="0" fontId="1" fillId="0" borderId="1" xfId="0" applyFont="1" applyBorder="1" applyAlignment="1" applyProtection="1">
      <alignment horizontal="center" textRotation="90"/>
      <protection hidden="1"/>
    </xf>
    <xf numFmtId="0" fontId="15" fillId="3" borderId="0" xfId="0" applyFont="1" applyFill="1" applyAlignment="1" applyProtection="1">
      <alignment horizontal="center" textRotation="255"/>
      <protection hidden="1"/>
    </xf>
    <xf numFmtId="0" fontId="1" fillId="0" borderId="19" xfId="0" applyFont="1" applyBorder="1" applyAlignment="1" applyProtection="1">
      <alignment horizontal="center" textRotation="90"/>
      <protection hidden="1"/>
    </xf>
    <xf numFmtId="0" fontId="1" fillId="0" borderId="1" xfId="0" applyFont="1" applyBorder="1" applyAlignment="1" applyProtection="1">
      <alignment horizontal="center" textRotation="90" wrapText="1"/>
      <protection hidden="1"/>
    </xf>
    <xf numFmtId="0" fontId="1" fillId="0" borderId="19" xfId="0" applyFont="1" applyBorder="1" applyAlignment="1" applyProtection="1">
      <alignment horizontal="center" textRotation="90" wrapText="1"/>
      <protection hidden="1"/>
    </xf>
    <xf numFmtId="0" fontId="1" fillId="0" borderId="17" xfId="0" applyFont="1" applyBorder="1" applyAlignment="1" applyProtection="1">
      <alignment horizontal="center" textRotation="90"/>
      <protection hidden="1"/>
    </xf>
    <xf numFmtId="0" fontId="1" fillId="0" borderId="12" xfId="0" applyFont="1" applyBorder="1" applyAlignment="1" applyProtection="1">
      <alignment horizontal="center" textRotation="90"/>
      <protection hidden="1"/>
    </xf>
    <xf numFmtId="0" fontId="1" fillId="0" borderId="6" xfId="0" applyFont="1" applyBorder="1" applyAlignment="1" applyProtection="1">
      <alignment horizontal="center" textRotation="90"/>
      <protection hidden="1"/>
    </xf>
    <xf numFmtId="0" fontId="9" fillId="18" borderId="11" xfId="0" applyFont="1" applyFill="1" applyBorder="1" applyAlignment="1" applyProtection="1">
      <alignment vertical="center"/>
      <protection hidden="1"/>
    </xf>
    <xf numFmtId="0" fontId="4" fillId="2" borderId="11" xfId="0" applyFont="1" applyFill="1" applyBorder="1" applyAlignment="1" applyProtection="1">
      <alignment vertical="center"/>
      <protection hidden="1"/>
    </xf>
    <xf numFmtId="0" fontId="1" fillId="0" borderId="13" xfId="0" applyFont="1" applyBorder="1" applyAlignment="1" applyProtection="1">
      <alignment horizontal="center" textRotation="90" wrapText="1"/>
      <protection hidden="1"/>
    </xf>
    <xf numFmtId="0" fontId="2" fillId="0" borderId="30" xfId="0" applyFont="1" applyBorder="1" applyAlignment="1" applyProtection="1">
      <alignment horizontal="center" vertical="center"/>
      <protection locked="0"/>
    </xf>
    <xf numFmtId="0" fontId="2" fillId="0" borderId="28" xfId="0" applyFont="1" applyBorder="1" applyAlignment="1" applyProtection="1">
      <alignment horizontal="center" vertical="center"/>
      <protection locked="0"/>
    </xf>
    <xf numFmtId="0" fontId="9" fillId="9" borderId="11" xfId="0" applyFont="1" applyFill="1" applyBorder="1" applyAlignment="1" applyProtection="1">
      <alignment textRotation="90"/>
      <protection hidden="1"/>
    </xf>
    <xf numFmtId="0" fontId="2" fillId="2" borderId="11" xfId="0" applyFont="1" applyFill="1" applyBorder="1" applyAlignment="1" applyProtection="1">
      <alignment horizontal="center" vertical="center" textRotation="90"/>
      <protection hidden="1"/>
    </xf>
    <xf numFmtId="0" fontId="9" fillId="9" borderId="26" xfId="0" applyFont="1" applyFill="1" applyBorder="1" applyAlignment="1" applyProtection="1">
      <alignment horizontal="center" vertical="center"/>
      <protection hidden="1"/>
    </xf>
    <xf numFmtId="0" fontId="2" fillId="9" borderId="0" xfId="0" applyFont="1" applyFill="1" applyAlignment="1" applyProtection="1">
      <alignment vertical="center"/>
      <protection hidden="1"/>
    </xf>
    <xf numFmtId="0" fontId="2" fillId="9" borderId="29" xfId="0" applyFont="1" applyFill="1" applyBorder="1" applyAlignment="1" applyProtection="1">
      <alignment horizontal="center" vertical="center"/>
      <protection locked="0"/>
    </xf>
    <xf numFmtId="0" fontId="12" fillId="3" borderId="2" xfId="0" applyFont="1" applyFill="1" applyBorder="1" applyAlignment="1" applyProtection="1">
      <alignment horizontal="center" vertical="center"/>
      <protection locked="0"/>
    </xf>
    <xf numFmtId="0" fontId="12" fillId="3" borderId="3" xfId="0" applyFont="1" applyFill="1" applyBorder="1" applyAlignment="1" applyProtection="1">
      <alignment horizontal="center" vertical="center"/>
      <protection locked="0"/>
    </xf>
    <xf numFmtId="166" fontId="2" fillId="9" borderId="29" xfId="0" applyNumberFormat="1" applyFont="1" applyFill="1" applyBorder="1" applyAlignment="1" applyProtection="1">
      <alignment horizontal="center" vertical="center"/>
      <protection locked="0"/>
    </xf>
    <xf numFmtId="0" fontId="12" fillId="3" borderId="1" xfId="0" applyFont="1" applyFill="1" applyBorder="1" applyAlignment="1" applyProtection="1">
      <alignment horizontal="center" vertical="center"/>
      <protection locked="0"/>
    </xf>
    <xf numFmtId="0" fontId="2" fillId="9" borderId="36" xfId="0" applyFont="1" applyFill="1" applyBorder="1" applyAlignment="1" applyProtection="1">
      <alignment horizontal="center" vertical="center"/>
      <protection locked="0"/>
    </xf>
    <xf numFmtId="0" fontId="2" fillId="9" borderId="37" xfId="0" applyFont="1" applyFill="1" applyBorder="1" applyAlignment="1" applyProtection="1">
      <alignment horizontal="center" vertical="center"/>
      <protection locked="0"/>
    </xf>
    <xf numFmtId="0" fontId="2" fillId="9" borderId="39" xfId="0" applyFont="1" applyFill="1" applyBorder="1" applyAlignment="1" applyProtection="1">
      <alignment horizontal="center" vertical="center"/>
      <protection locked="0"/>
    </xf>
    <xf numFmtId="0" fontId="2" fillId="9" borderId="0" xfId="0" applyFont="1" applyFill="1" applyAlignment="1" applyProtection="1">
      <alignment horizontal="center" vertical="center"/>
      <protection locked="0"/>
    </xf>
    <xf numFmtId="0" fontId="9" fillId="11" borderId="0" xfId="0" applyFont="1" applyFill="1" applyAlignment="1" applyProtection="1">
      <alignment horizontal="center" vertical="center"/>
      <protection locked="0"/>
    </xf>
    <xf numFmtId="0" fontId="2" fillId="9" borderId="40" xfId="0" applyFont="1" applyFill="1" applyBorder="1" applyAlignment="1" applyProtection="1">
      <alignment horizontal="center" vertical="center"/>
      <protection locked="0"/>
    </xf>
    <xf numFmtId="0" fontId="9" fillId="19" borderId="0" xfId="0" applyFont="1" applyFill="1" applyAlignment="1" applyProtection="1">
      <alignment horizontal="center" vertical="center"/>
      <protection locked="0"/>
    </xf>
    <xf numFmtId="0" fontId="2" fillId="9" borderId="41" xfId="0" applyFont="1" applyFill="1" applyBorder="1" applyAlignment="1" applyProtection="1">
      <alignment horizontal="center" vertical="center"/>
      <protection locked="0"/>
    </xf>
    <xf numFmtId="0" fontId="9" fillId="19" borderId="36" xfId="0" applyFont="1" applyFill="1" applyBorder="1" applyAlignment="1" applyProtection="1">
      <alignment horizontal="center" vertical="center"/>
      <protection locked="0"/>
    </xf>
    <xf numFmtId="0" fontId="2" fillId="9" borderId="30" xfId="0" applyFont="1" applyFill="1" applyBorder="1" applyAlignment="1" applyProtection="1">
      <alignment horizontal="center" vertical="center"/>
      <protection locked="0"/>
    </xf>
    <xf numFmtId="0" fontId="9" fillId="2" borderId="38" xfId="0" applyFont="1" applyFill="1" applyBorder="1" applyAlignment="1" applyProtection="1">
      <alignment vertical="center"/>
      <protection hidden="1"/>
    </xf>
    <xf numFmtId="0" fontId="12" fillId="3" borderId="10" xfId="0" applyFont="1" applyFill="1" applyBorder="1" applyAlignment="1" applyProtection="1">
      <alignment horizontal="center" vertical="center"/>
      <protection locked="0"/>
    </xf>
    <xf numFmtId="0" fontId="9" fillId="2" borderId="0" xfId="0" applyFont="1" applyFill="1" applyAlignment="1" applyProtection="1">
      <alignment vertical="center"/>
      <protection hidden="1"/>
    </xf>
    <xf numFmtId="14" fontId="2" fillId="9" borderId="42" xfId="0" applyNumberFormat="1" applyFont="1" applyFill="1" applyBorder="1" applyAlignment="1" applyProtection="1">
      <alignment horizontal="center" vertical="center"/>
      <protection locked="0"/>
    </xf>
    <xf numFmtId="14" fontId="2" fillId="9" borderId="43" xfId="0" applyNumberFormat="1" applyFont="1" applyFill="1" applyBorder="1" applyAlignment="1" applyProtection="1">
      <alignment horizontal="center" vertical="center"/>
      <protection locked="0"/>
    </xf>
    <xf numFmtId="14" fontId="2" fillId="9" borderId="44" xfId="0" applyNumberFormat="1" applyFont="1" applyFill="1" applyBorder="1" applyAlignment="1" applyProtection="1">
      <alignment horizontal="center" vertical="center"/>
      <protection locked="0"/>
    </xf>
    <xf numFmtId="1" fontId="2" fillId="9" borderId="45" xfId="0" applyNumberFormat="1" applyFont="1" applyFill="1" applyBorder="1" applyAlignment="1" applyProtection="1">
      <alignment horizontal="center" vertical="center"/>
      <protection hidden="1"/>
    </xf>
    <xf numFmtId="0" fontId="9" fillId="9" borderId="11" xfId="0" applyFont="1" applyFill="1" applyBorder="1" applyAlignment="1" applyProtection="1">
      <alignment horizontal="center" vertical="center"/>
      <protection hidden="1"/>
    </xf>
    <xf numFmtId="165" fontId="2" fillId="9" borderId="42" xfId="0" applyNumberFormat="1" applyFont="1" applyFill="1" applyBorder="1" applyAlignment="1" applyProtection="1">
      <alignment horizontal="center" vertical="center"/>
      <protection hidden="1"/>
    </xf>
    <xf numFmtId="165" fontId="2" fillId="9" borderId="43" xfId="0" applyNumberFormat="1" applyFont="1" applyFill="1" applyBorder="1" applyAlignment="1" applyProtection="1">
      <alignment horizontal="center" vertical="center"/>
      <protection hidden="1"/>
    </xf>
    <xf numFmtId="1" fontId="2" fillId="0" borderId="44" xfId="0" applyNumberFormat="1" applyFont="1" applyBorder="1" applyAlignment="1" applyProtection="1">
      <alignment horizontal="center" vertical="center"/>
      <protection hidden="1"/>
    </xf>
    <xf numFmtId="0" fontId="2" fillId="9" borderId="46" xfId="0" applyFont="1" applyFill="1" applyBorder="1" applyAlignment="1" applyProtection="1">
      <alignment horizontal="center" vertical="center"/>
      <protection hidden="1"/>
    </xf>
    <xf numFmtId="0" fontId="2" fillId="9" borderId="28" xfId="0" applyFont="1" applyFill="1" applyBorder="1" applyAlignment="1" applyProtection="1">
      <alignment horizontal="center" vertical="center"/>
      <protection hidden="1"/>
    </xf>
    <xf numFmtId="1" fontId="2" fillId="9" borderId="28" xfId="0" applyNumberFormat="1" applyFont="1" applyFill="1" applyBorder="1" applyAlignment="1" applyProtection="1">
      <alignment horizontal="center" vertical="center"/>
      <protection hidden="1"/>
    </xf>
    <xf numFmtId="0" fontId="2" fillId="9" borderId="47" xfId="0" applyFont="1" applyFill="1" applyBorder="1" applyAlignment="1" applyProtection="1">
      <alignment horizontal="center" vertical="center"/>
      <protection locked="0"/>
    </xf>
    <xf numFmtId="165" fontId="2" fillId="9" borderId="48" xfId="0" applyNumberFormat="1" applyFont="1" applyFill="1" applyBorder="1" applyAlignment="1" applyProtection="1">
      <alignment horizontal="center" vertical="center"/>
      <protection hidden="1"/>
    </xf>
    <xf numFmtId="165" fontId="2" fillId="9" borderId="42" xfId="0" applyNumberFormat="1" applyFont="1" applyFill="1" applyBorder="1" applyAlignment="1" applyProtection="1">
      <alignment horizontal="center" vertical="center"/>
      <protection locked="0"/>
    </xf>
    <xf numFmtId="0" fontId="2" fillId="9" borderId="35" xfId="0" applyFont="1" applyFill="1" applyBorder="1" applyAlignment="1" applyProtection="1">
      <alignment horizontal="center" vertical="center"/>
      <protection hidden="1"/>
    </xf>
    <xf numFmtId="0" fontId="2" fillId="9" borderId="27" xfId="0" applyFont="1" applyFill="1" applyBorder="1" applyAlignment="1" applyProtection="1">
      <alignment horizontal="center" vertical="center"/>
      <protection hidden="1"/>
    </xf>
    <xf numFmtId="0" fontId="2" fillId="9" borderId="29" xfId="0" applyFont="1" applyFill="1" applyBorder="1" applyAlignment="1" applyProtection="1">
      <alignment horizontal="center" vertical="center"/>
      <protection hidden="1"/>
    </xf>
    <xf numFmtId="1" fontId="2" fillId="9" borderId="30" xfId="0" applyNumberFormat="1" applyFont="1" applyFill="1" applyBorder="1" applyAlignment="1" applyProtection="1">
      <alignment horizontal="center" vertical="center"/>
      <protection hidden="1"/>
    </xf>
    <xf numFmtId="0" fontId="2" fillId="9" borderId="30" xfId="0" applyFont="1" applyFill="1" applyBorder="1" applyAlignment="1" applyProtection="1">
      <alignment horizontal="center" vertical="center"/>
      <protection hidden="1"/>
    </xf>
    <xf numFmtId="0" fontId="2" fillId="9" borderId="31" xfId="0" applyFont="1" applyFill="1" applyBorder="1" applyAlignment="1" applyProtection="1">
      <alignment horizontal="center" vertical="center"/>
      <protection hidden="1"/>
    </xf>
    <xf numFmtId="14" fontId="2" fillId="9" borderId="27" xfId="0" applyNumberFormat="1" applyFont="1" applyFill="1" applyBorder="1" applyAlignment="1" applyProtection="1">
      <alignment horizontal="center" vertical="center"/>
      <protection locked="0"/>
    </xf>
    <xf numFmtId="0" fontId="2" fillId="9" borderId="47" xfId="0" applyFont="1" applyFill="1" applyBorder="1" applyAlignment="1" applyProtection="1">
      <alignment horizontal="center" vertical="center"/>
      <protection hidden="1"/>
    </xf>
    <xf numFmtId="0" fontId="2" fillId="9" borderId="33" xfId="0" applyFont="1" applyFill="1" applyBorder="1" applyAlignment="1" applyProtection="1">
      <alignment horizontal="center" vertical="center"/>
      <protection hidden="1"/>
    </xf>
    <xf numFmtId="0" fontId="2" fillId="9" borderId="32" xfId="0" applyFont="1" applyFill="1" applyBorder="1" applyAlignment="1" applyProtection="1">
      <alignment horizontal="center" vertical="center"/>
      <protection hidden="1"/>
    </xf>
    <xf numFmtId="165" fontId="2" fillId="0" borderId="44" xfId="0" applyNumberFormat="1" applyFont="1" applyBorder="1" applyAlignment="1" applyProtection="1">
      <alignment horizontal="center" vertical="center"/>
      <protection locked="0"/>
    </xf>
    <xf numFmtId="165" fontId="2" fillId="9" borderId="45" xfId="0" applyNumberFormat="1" applyFont="1" applyFill="1" applyBorder="1" applyAlignment="1" applyProtection="1">
      <alignment horizontal="center" vertical="center"/>
      <protection hidden="1"/>
    </xf>
    <xf numFmtId="0" fontId="2" fillId="9" borderId="45" xfId="0" applyFont="1" applyFill="1" applyBorder="1" applyAlignment="1" applyProtection="1">
      <alignment horizontal="center" vertical="center"/>
      <protection hidden="1"/>
    </xf>
    <xf numFmtId="0" fontId="12" fillId="3" borderId="49" xfId="0" applyFont="1" applyFill="1" applyBorder="1" applyAlignment="1" applyProtection="1">
      <alignment horizontal="center" vertical="center"/>
      <protection locked="0"/>
    </xf>
    <xf numFmtId="165" fontId="2" fillId="9" borderId="44" xfId="0" applyNumberFormat="1" applyFont="1" applyFill="1" applyBorder="1" applyAlignment="1" applyProtection="1">
      <alignment horizontal="center" vertical="center"/>
      <protection hidden="1"/>
    </xf>
    <xf numFmtId="0" fontId="12" fillId="3" borderId="48" xfId="0" applyFont="1" applyFill="1" applyBorder="1" applyAlignment="1" applyProtection="1">
      <alignment horizontal="center" vertical="center"/>
      <protection locked="0"/>
    </xf>
    <xf numFmtId="0" fontId="12" fillId="3" borderId="44" xfId="0" applyFont="1" applyFill="1" applyBorder="1" applyAlignment="1" applyProtection="1">
      <alignment horizontal="center" vertical="center"/>
      <protection locked="0"/>
    </xf>
    <xf numFmtId="0" fontId="2" fillId="9" borderId="50" xfId="0" applyFont="1" applyFill="1" applyBorder="1" applyAlignment="1" applyProtection="1">
      <alignment horizontal="center" vertical="center"/>
      <protection locked="0"/>
    </xf>
    <xf numFmtId="0" fontId="2" fillId="9" borderId="28" xfId="0" applyFont="1" applyFill="1" applyBorder="1" applyAlignment="1" applyProtection="1">
      <alignment horizontal="center" vertical="center"/>
      <protection locked="0"/>
    </xf>
    <xf numFmtId="0" fontId="2" fillId="9" borderId="49" xfId="0" applyFont="1" applyFill="1" applyBorder="1" applyAlignment="1" applyProtection="1">
      <alignment horizontal="center" vertical="center"/>
      <protection locked="0"/>
    </xf>
    <xf numFmtId="0" fontId="2" fillId="9" borderId="46" xfId="0" applyFont="1" applyFill="1" applyBorder="1" applyAlignment="1" applyProtection="1">
      <alignment horizontal="center" vertical="center"/>
      <protection locked="0"/>
    </xf>
    <xf numFmtId="0" fontId="2" fillId="9" borderId="51" xfId="0" applyFont="1" applyFill="1" applyBorder="1" applyAlignment="1" applyProtection="1">
      <alignment horizontal="center" vertical="center"/>
      <protection locked="0"/>
    </xf>
    <xf numFmtId="0" fontId="9" fillId="11" borderId="38" xfId="0" applyFont="1" applyFill="1" applyBorder="1" applyAlignment="1" applyProtection="1">
      <alignment horizontal="center" vertical="center"/>
      <protection locked="0"/>
    </xf>
    <xf numFmtId="0" fontId="9" fillId="12" borderId="0" xfId="0" applyFont="1" applyFill="1" applyAlignment="1" applyProtection="1">
      <alignment horizontal="center" vertical="center"/>
      <protection locked="0"/>
    </xf>
    <xf numFmtId="0" fontId="2" fillId="9" borderId="27" xfId="0" applyFont="1" applyFill="1" applyBorder="1" applyAlignment="1" applyProtection="1">
      <alignment horizontal="center" vertical="center"/>
      <protection locked="0"/>
    </xf>
    <xf numFmtId="0" fontId="9" fillId="12" borderId="38" xfId="0" applyFont="1" applyFill="1" applyBorder="1" applyAlignment="1" applyProtection="1">
      <alignment horizontal="center" vertical="center"/>
      <protection locked="0"/>
    </xf>
    <xf numFmtId="0" fontId="9" fillId="13" borderId="0" xfId="0" applyFont="1" applyFill="1" applyAlignment="1" applyProtection="1">
      <alignment horizontal="center" vertical="center"/>
      <protection locked="0"/>
    </xf>
    <xf numFmtId="165" fontId="2" fillId="9" borderId="44" xfId="0" applyNumberFormat="1" applyFont="1" applyFill="1" applyBorder="1" applyAlignment="1" applyProtection="1">
      <alignment horizontal="center" vertical="center"/>
      <protection locked="0"/>
    </xf>
    <xf numFmtId="165" fontId="2" fillId="9" borderId="52" xfId="0" applyNumberFormat="1" applyFont="1" applyFill="1" applyBorder="1" applyAlignment="1" applyProtection="1">
      <alignment horizontal="center" vertical="center"/>
      <protection locked="0"/>
    </xf>
    <xf numFmtId="165" fontId="2" fillId="9" borderId="49" xfId="0" applyNumberFormat="1" applyFont="1" applyFill="1" applyBorder="1" applyAlignment="1" applyProtection="1">
      <alignment horizontal="center" vertical="center"/>
      <protection locked="0"/>
    </xf>
    <xf numFmtId="0" fontId="9" fillId="13" borderId="38" xfId="0" applyFont="1" applyFill="1" applyBorder="1" applyAlignment="1" applyProtection="1">
      <alignment horizontal="center" vertical="center"/>
      <protection locked="0"/>
    </xf>
    <xf numFmtId="166" fontId="2" fillId="9" borderId="46" xfId="0" applyNumberFormat="1" applyFont="1" applyFill="1" applyBorder="1" applyAlignment="1" applyProtection="1">
      <alignment horizontal="center" vertical="center"/>
      <protection locked="0"/>
    </xf>
    <xf numFmtId="166" fontId="2" fillId="9" borderId="28" xfId="0" applyNumberFormat="1" applyFont="1" applyFill="1" applyBorder="1" applyAlignment="1" applyProtection="1">
      <alignment horizontal="center" vertical="center"/>
      <protection locked="0"/>
    </xf>
    <xf numFmtId="166" fontId="2" fillId="9" borderId="52" xfId="0" applyNumberFormat="1" applyFont="1" applyFill="1" applyBorder="1" applyAlignment="1" applyProtection="1">
      <alignment horizontal="center" vertical="center"/>
      <protection locked="0"/>
    </xf>
    <xf numFmtId="1" fontId="12" fillId="3" borderId="38" xfId="0" applyNumberFormat="1" applyFont="1" applyFill="1" applyBorder="1" applyAlignment="1" applyProtection="1">
      <alignment horizontal="center" vertical="center"/>
      <protection locked="0"/>
    </xf>
    <xf numFmtId="166" fontId="2" fillId="9" borderId="44" xfId="0" applyNumberFormat="1" applyFont="1" applyFill="1" applyBorder="1" applyAlignment="1" applyProtection="1">
      <alignment horizontal="center" vertical="center"/>
      <protection locked="0"/>
    </xf>
    <xf numFmtId="1" fontId="9" fillId="4" borderId="38" xfId="0" applyNumberFormat="1" applyFont="1" applyFill="1" applyBorder="1" applyAlignment="1" applyProtection="1">
      <alignment horizontal="center" vertical="center"/>
      <protection locked="0"/>
    </xf>
    <xf numFmtId="166" fontId="2" fillId="9" borderId="53" xfId="0" applyNumberFormat="1" applyFont="1" applyFill="1" applyBorder="1" applyAlignment="1" applyProtection="1">
      <alignment horizontal="center" vertical="center"/>
      <protection locked="0"/>
    </xf>
    <xf numFmtId="166" fontId="2" fillId="9" borderId="54" xfId="0" applyNumberFormat="1" applyFont="1" applyFill="1" applyBorder="1" applyAlignment="1" applyProtection="1">
      <alignment horizontal="center" vertical="center"/>
      <protection locked="0"/>
    </xf>
    <xf numFmtId="1" fontId="9" fillId="5" borderId="38" xfId="0" applyNumberFormat="1" applyFont="1" applyFill="1" applyBorder="1" applyAlignment="1" applyProtection="1">
      <alignment horizontal="center" vertical="center"/>
      <protection locked="0"/>
    </xf>
    <xf numFmtId="166" fontId="2" fillId="9" borderId="55" xfId="0" applyNumberFormat="1" applyFont="1" applyFill="1" applyBorder="1" applyAlignment="1" applyProtection="1">
      <alignment horizontal="center" vertical="center"/>
      <protection locked="0"/>
    </xf>
    <xf numFmtId="1" fontId="9" fillId="6" borderId="38" xfId="0" applyNumberFormat="1" applyFont="1" applyFill="1" applyBorder="1" applyAlignment="1" applyProtection="1">
      <alignment horizontal="center" vertical="center"/>
      <protection locked="0"/>
    </xf>
    <xf numFmtId="1" fontId="9" fillId="10" borderId="38" xfId="0" applyNumberFormat="1" applyFont="1" applyFill="1" applyBorder="1" applyAlignment="1" applyProtection="1">
      <alignment horizontal="center" vertical="center"/>
      <protection locked="0"/>
    </xf>
    <xf numFmtId="166" fontId="2" fillId="9" borderId="56" xfId="0" applyNumberFormat="1" applyFont="1" applyFill="1" applyBorder="1" applyAlignment="1" applyProtection="1">
      <alignment horizontal="center" vertical="center"/>
      <protection locked="0"/>
    </xf>
    <xf numFmtId="0" fontId="2" fillId="9" borderId="44" xfId="0" applyFont="1" applyFill="1" applyBorder="1" applyAlignment="1" applyProtection="1">
      <alignment horizontal="center" vertical="center"/>
      <protection locked="0"/>
    </xf>
    <xf numFmtId="0" fontId="9" fillId="14" borderId="36" xfId="0" applyFont="1" applyFill="1" applyBorder="1" applyAlignment="1" applyProtection="1">
      <alignment horizontal="center" vertical="center"/>
      <protection locked="0"/>
    </xf>
    <xf numFmtId="0" fontId="9" fillId="14" borderId="38" xfId="0" applyFont="1" applyFill="1" applyBorder="1" applyAlignment="1" applyProtection="1">
      <alignment horizontal="center" vertical="center"/>
      <protection locked="0"/>
    </xf>
    <xf numFmtId="0" fontId="9" fillId="15" borderId="36" xfId="0" applyFont="1" applyFill="1" applyBorder="1" applyAlignment="1" applyProtection="1">
      <alignment horizontal="center" vertical="center"/>
      <protection locked="0"/>
    </xf>
    <xf numFmtId="0" fontId="9" fillId="15" borderId="38" xfId="0" applyFont="1" applyFill="1" applyBorder="1" applyAlignment="1" applyProtection="1">
      <alignment horizontal="center" vertical="center"/>
      <protection locked="0"/>
    </xf>
    <xf numFmtId="0" fontId="16" fillId="16" borderId="36" xfId="0" applyFont="1" applyFill="1" applyBorder="1" applyAlignment="1" applyProtection="1">
      <alignment horizontal="center" vertical="center"/>
      <protection locked="0"/>
    </xf>
    <xf numFmtId="0" fontId="16" fillId="16" borderId="38" xfId="0" applyFont="1" applyFill="1" applyBorder="1" applyAlignment="1" applyProtection="1">
      <alignment horizontal="center" vertical="center"/>
      <protection locked="0"/>
    </xf>
    <xf numFmtId="0" fontId="9" fillId="10" borderId="36" xfId="0" applyFont="1" applyFill="1" applyBorder="1" applyAlignment="1" applyProtection="1">
      <alignment horizontal="center" vertical="center"/>
      <protection locked="0"/>
    </xf>
    <xf numFmtId="0" fontId="9" fillId="10" borderId="38" xfId="0" applyFont="1" applyFill="1" applyBorder="1" applyAlignment="1" applyProtection="1">
      <alignment horizontal="center" vertical="center"/>
      <protection locked="0"/>
    </xf>
    <xf numFmtId="0" fontId="2" fillId="9" borderId="52" xfId="0" applyFont="1" applyFill="1" applyBorder="1" applyAlignment="1" applyProtection="1">
      <alignment horizontal="center" vertical="center"/>
      <protection locked="0"/>
    </xf>
    <xf numFmtId="0" fontId="2" fillId="2" borderId="45" xfId="0" applyFont="1" applyFill="1" applyBorder="1" applyAlignment="1" applyProtection="1">
      <alignment horizontal="center" vertical="center"/>
      <protection hidden="1"/>
    </xf>
    <xf numFmtId="0" fontId="2" fillId="9" borderId="42" xfId="0" applyFont="1" applyFill="1" applyBorder="1" applyAlignment="1" applyProtection="1">
      <alignment horizontal="center" vertical="center"/>
      <protection hidden="1"/>
    </xf>
    <xf numFmtId="0" fontId="12" fillId="3" borderId="45" xfId="0" applyFont="1" applyFill="1" applyBorder="1" applyAlignment="1" applyProtection="1">
      <alignment horizontal="center" vertical="center"/>
      <protection locked="0"/>
    </xf>
    <xf numFmtId="0" fontId="12" fillId="3" borderId="0" xfId="0" applyFont="1" applyFill="1" applyAlignment="1" applyProtection="1">
      <alignment horizontal="center" vertical="center"/>
      <protection locked="0"/>
    </xf>
    <xf numFmtId="0" fontId="12" fillId="3" borderId="26" xfId="0" applyFont="1" applyFill="1" applyBorder="1" applyAlignment="1" applyProtection="1">
      <alignment horizontal="center" vertical="center"/>
      <protection locked="0"/>
    </xf>
    <xf numFmtId="165" fontId="2" fillId="9" borderId="26" xfId="0" applyNumberFormat="1" applyFont="1" applyFill="1" applyBorder="1" applyAlignment="1" applyProtection="1">
      <alignment horizontal="center" vertical="center"/>
      <protection locked="0"/>
    </xf>
    <xf numFmtId="165" fontId="2" fillId="9" borderId="0" xfId="0" applyNumberFormat="1" applyFont="1" applyFill="1" applyAlignment="1" applyProtection="1">
      <alignment horizontal="center" vertical="center"/>
      <protection locked="0"/>
    </xf>
    <xf numFmtId="166" fontId="2" fillId="9" borderId="41" xfId="0" applyNumberFormat="1" applyFont="1" applyFill="1" applyBorder="1" applyAlignment="1" applyProtection="1">
      <alignment horizontal="center" vertical="center"/>
      <protection locked="0"/>
    </xf>
    <xf numFmtId="0" fontId="2" fillId="9" borderId="55" xfId="0" applyFont="1" applyFill="1" applyBorder="1" applyAlignment="1" applyProtection="1">
      <alignment horizontal="center" vertical="center"/>
      <protection locked="0"/>
    </xf>
    <xf numFmtId="0" fontId="12" fillId="3" borderId="11" xfId="0" applyFont="1" applyFill="1" applyBorder="1" applyAlignment="1" applyProtection="1">
      <alignment horizontal="center" vertical="center"/>
      <protection locked="0"/>
    </xf>
    <xf numFmtId="0" fontId="2" fillId="0" borderId="50" xfId="0" applyFont="1" applyBorder="1" applyAlignment="1" applyProtection="1">
      <alignment horizontal="center" vertical="center"/>
      <protection locked="0"/>
    </xf>
    <xf numFmtId="0" fontId="2" fillId="0" borderId="37" xfId="0" applyFont="1" applyBorder="1" applyAlignment="1" applyProtection="1">
      <alignment horizontal="center" vertical="center"/>
      <protection locked="0"/>
    </xf>
    <xf numFmtId="165" fontId="2" fillId="0" borderId="33" xfId="0" applyNumberFormat="1" applyFont="1" applyBorder="1" applyAlignment="1" applyProtection="1">
      <alignment horizontal="center" vertical="center"/>
      <protection locked="0"/>
    </xf>
    <xf numFmtId="0" fontId="2" fillId="9" borderId="26" xfId="0" applyFont="1" applyFill="1" applyBorder="1" applyAlignment="1" applyProtection="1">
      <alignment horizontal="center" vertical="center"/>
      <protection locked="0"/>
    </xf>
    <xf numFmtId="166" fontId="2" fillId="9" borderId="37" xfId="0" applyNumberFormat="1" applyFont="1" applyFill="1" applyBorder="1" applyAlignment="1" applyProtection="1">
      <alignment horizontal="center" vertical="center"/>
      <protection locked="0"/>
    </xf>
    <xf numFmtId="0" fontId="2" fillId="9" borderId="57" xfId="0" applyFont="1" applyFill="1" applyBorder="1" applyAlignment="1" applyProtection="1">
      <alignment horizontal="center" vertical="center"/>
      <protection locked="0"/>
    </xf>
    <xf numFmtId="14" fontId="2" fillId="9" borderId="48" xfId="0" applyNumberFormat="1" applyFont="1" applyFill="1" applyBorder="1" applyAlignment="1" applyProtection="1">
      <alignment horizontal="center" vertical="center"/>
      <protection locked="0"/>
    </xf>
    <xf numFmtId="14" fontId="2" fillId="9" borderId="49" xfId="0" applyNumberFormat="1" applyFont="1" applyFill="1" applyBorder="1" applyAlignment="1" applyProtection="1">
      <alignment horizontal="center" vertical="center"/>
      <protection locked="0"/>
    </xf>
    <xf numFmtId="14" fontId="2" fillId="9" borderId="45" xfId="0" applyNumberFormat="1" applyFont="1" applyFill="1" applyBorder="1" applyAlignment="1" applyProtection="1">
      <alignment horizontal="center" vertical="center"/>
      <protection locked="0"/>
    </xf>
    <xf numFmtId="0" fontId="2" fillId="0" borderId="48" xfId="0" applyFont="1" applyBorder="1" applyAlignment="1" applyProtection="1">
      <alignment horizontal="center" vertical="center"/>
      <protection locked="0"/>
    </xf>
    <xf numFmtId="166" fontId="2" fillId="9" borderId="32" xfId="0" applyNumberFormat="1" applyFont="1" applyFill="1" applyBorder="1" applyAlignment="1" applyProtection="1">
      <alignment horizontal="center" vertical="center"/>
      <protection locked="0"/>
    </xf>
    <xf numFmtId="166" fontId="2" fillId="9" borderId="33" xfId="0" applyNumberFormat="1" applyFont="1" applyFill="1" applyBorder="1" applyAlignment="1" applyProtection="1">
      <alignment horizontal="center" vertical="center"/>
      <protection locked="0"/>
    </xf>
    <xf numFmtId="166" fontId="2" fillId="9" borderId="35" xfId="0" applyNumberFormat="1" applyFont="1" applyFill="1" applyBorder="1" applyAlignment="1" applyProtection="1">
      <alignment horizontal="center" vertical="center"/>
      <protection locked="0"/>
    </xf>
    <xf numFmtId="166" fontId="2" fillId="9" borderId="27" xfId="0" applyNumberFormat="1" applyFont="1" applyFill="1" applyBorder="1" applyAlignment="1" applyProtection="1">
      <alignment horizontal="center" vertical="center"/>
      <protection locked="0"/>
    </xf>
    <xf numFmtId="0" fontId="2" fillId="9" borderId="54" xfId="0" applyFont="1" applyFill="1" applyBorder="1" applyAlignment="1" applyProtection="1">
      <alignment horizontal="center" vertical="center"/>
      <protection locked="0"/>
    </xf>
    <xf numFmtId="0" fontId="12" fillId="3" borderId="7" xfId="0" applyFont="1" applyFill="1" applyBorder="1" applyAlignment="1" applyProtection="1">
      <alignment horizontal="center" vertical="center"/>
      <protection locked="0"/>
    </xf>
    <xf numFmtId="0" fontId="12" fillId="3" borderId="8" xfId="0" applyFont="1" applyFill="1" applyBorder="1" applyAlignment="1" applyProtection="1">
      <alignment horizontal="center" vertical="center"/>
      <protection locked="0"/>
    </xf>
    <xf numFmtId="0" fontId="2" fillId="9" borderId="56" xfId="0" applyFont="1" applyFill="1" applyBorder="1" applyAlignment="1" applyProtection="1">
      <alignment horizontal="center" vertical="center"/>
      <protection locked="0"/>
    </xf>
    <xf numFmtId="165" fontId="2" fillId="9" borderId="33" xfId="0" applyNumberFormat="1" applyFont="1" applyFill="1" applyBorder="1" applyAlignment="1" applyProtection="1">
      <alignment horizontal="center" vertical="center"/>
      <protection locked="0"/>
    </xf>
    <xf numFmtId="166" fontId="2" fillId="9" borderId="51" xfId="0" applyNumberFormat="1" applyFont="1" applyFill="1" applyBorder="1" applyAlignment="1" applyProtection="1">
      <alignment horizontal="center" vertical="center"/>
      <protection locked="0"/>
    </xf>
    <xf numFmtId="166" fontId="2" fillId="9" borderId="57" xfId="0" applyNumberFormat="1" applyFont="1" applyFill="1" applyBorder="1" applyAlignment="1" applyProtection="1">
      <alignment horizontal="center" vertical="center"/>
      <protection locked="0"/>
    </xf>
    <xf numFmtId="0" fontId="2" fillId="9" borderId="53" xfId="0" applyFont="1" applyFill="1" applyBorder="1" applyAlignment="1" applyProtection="1">
      <alignment horizontal="center" vertical="center"/>
      <protection locked="0"/>
    </xf>
    <xf numFmtId="0" fontId="12" fillId="3" borderId="14" xfId="0" applyFont="1" applyFill="1" applyBorder="1" applyAlignment="1" applyProtection="1">
      <alignment horizontal="center" vertical="center"/>
      <protection locked="0"/>
    </xf>
    <xf numFmtId="0" fontId="2" fillId="9" borderId="38" xfId="0" applyFont="1" applyFill="1" applyBorder="1" applyAlignment="1" applyProtection="1">
      <alignment vertical="center"/>
      <protection hidden="1"/>
    </xf>
    <xf numFmtId="165" fontId="2" fillId="9" borderId="55" xfId="0" applyNumberFormat="1" applyFont="1" applyFill="1" applyBorder="1" applyAlignment="1" applyProtection="1">
      <alignment horizontal="center" vertical="center"/>
      <protection locked="0"/>
    </xf>
    <xf numFmtId="0" fontId="2" fillId="9" borderId="32" xfId="0" applyFont="1" applyFill="1" applyBorder="1" applyAlignment="1" applyProtection="1">
      <alignment horizontal="center" vertical="center"/>
      <protection locked="0"/>
    </xf>
    <xf numFmtId="0" fontId="2" fillId="9" borderId="33" xfId="0" applyFont="1" applyFill="1" applyBorder="1" applyAlignment="1" applyProtection="1">
      <alignment horizontal="center" vertical="center"/>
      <protection locked="0"/>
    </xf>
    <xf numFmtId="0" fontId="9" fillId="10" borderId="0" xfId="0" applyFont="1" applyFill="1" applyAlignment="1" applyProtection="1">
      <alignment horizontal="center" vertical="center"/>
      <protection locked="0"/>
    </xf>
    <xf numFmtId="0" fontId="2" fillId="9" borderId="11" xfId="0" applyFont="1" applyFill="1" applyBorder="1" applyAlignment="1" applyProtection="1">
      <alignment vertical="center"/>
      <protection hidden="1"/>
    </xf>
    <xf numFmtId="0" fontId="12" fillId="3" borderId="58" xfId="0" applyFont="1" applyFill="1" applyBorder="1" applyAlignment="1" applyProtection="1">
      <alignment horizontal="center" vertical="center"/>
      <protection locked="0"/>
    </xf>
    <xf numFmtId="0" fontId="12" fillId="3" borderId="59" xfId="0" applyFont="1" applyFill="1" applyBorder="1" applyAlignment="1" applyProtection="1">
      <alignment horizontal="center" vertical="center"/>
      <protection locked="0"/>
    </xf>
    <xf numFmtId="0" fontId="12" fillId="3" borderId="60" xfId="0" applyFont="1" applyFill="1" applyBorder="1" applyAlignment="1" applyProtection="1">
      <alignment horizontal="center" vertical="center"/>
      <protection locked="0"/>
    </xf>
    <xf numFmtId="165" fontId="2" fillId="9" borderId="27" xfId="0" applyNumberFormat="1" applyFont="1" applyFill="1" applyBorder="1" applyAlignment="1" applyProtection="1">
      <alignment horizontal="center" vertical="center"/>
      <protection locked="0"/>
    </xf>
    <xf numFmtId="0" fontId="12" fillId="3" borderId="61" xfId="0" applyFont="1" applyFill="1" applyBorder="1" applyAlignment="1" applyProtection="1">
      <alignment horizontal="center" vertical="center"/>
      <protection locked="0"/>
    </xf>
    <xf numFmtId="166" fontId="2" fillId="9" borderId="50" xfId="0" applyNumberFormat="1" applyFont="1" applyFill="1" applyBorder="1" applyAlignment="1" applyProtection="1">
      <alignment horizontal="center" vertical="center"/>
      <protection locked="0"/>
    </xf>
    <xf numFmtId="166" fontId="2" fillId="9" borderId="30" xfId="0" applyNumberFormat="1" applyFont="1" applyFill="1" applyBorder="1" applyAlignment="1" applyProtection="1">
      <alignment horizontal="center" vertical="center"/>
      <protection locked="0"/>
    </xf>
    <xf numFmtId="0" fontId="2" fillId="9" borderId="8" xfId="0" applyFont="1" applyFill="1" applyBorder="1" applyAlignment="1" applyProtection="1">
      <alignment horizontal="center" vertical="center"/>
      <protection locked="0"/>
    </xf>
    <xf numFmtId="0" fontId="2" fillId="9" borderId="60" xfId="0" applyFont="1" applyFill="1" applyBorder="1" applyAlignment="1" applyProtection="1">
      <alignment horizontal="center" vertical="center"/>
      <protection locked="0"/>
    </xf>
    <xf numFmtId="1" fontId="2" fillId="9" borderId="61" xfId="0" applyNumberFormat="1" applyFont="1" applyFill="1" applyBorder="1" applyAlignment="1" applyProtection="1">
      <alignment horizontal="center" vertical="center"/>
      <protection hidden="1"/>
    </xf>
    <xf numFmtId="0" fontId="2" fillId="0" borderId="58" xfId="0" applyFont="1" applyBorder="1" applyAlignment="1" applyProtection="1">
      <alignment horizontal="center" vertical="center"/>
      <protection locked="0"/>
    </xf>
    <xf numFmtId="0" fontId="2" fillId="0" borderId="62" xfId="0" applyFont="1" applyBorder="1" applyAlignment="1" applyProtection="1">
      <alignment horizontal="center" vertical="center"/>
      <protection locked="0"/>
    </xf>
    <xf numFmtId="0" fontId="2" fillId="0" borderId="63" xfId="0" applyFont="1" applyBorder="1" applyAlignment="1" applyProtection="1">
      <alignment horizontal="center" vertical="center"/>
      <protection locked="0"/>
    </xf>
    <xf numFmtId="0" fontId="2" fillId="0" borderId="60" xfId="0" applyFont="1" applyBorder="1" applyAlignment="1" applyProtection="1">
      <alignment horizontal="center" vertical="center"/>
      <protection locked="0"/>
    </xf>
    <xf numFmtId="0" fontId="2" fillId="0" borderId="64" xfId="0" applyFont="1" applyBorder="1" applyAlignment="1" applyProtection="1">
      <alignment horizontal="center" vertical="center"/>
      <protection locked="0"/>
    </xf>
    <xf numFmtId="0" fontId="9" fillId="9" borderId="14" xfId="0" applyFont="1" applyFill="1" applyBorder="1" applyAlignment="1" applyProtection="1">
      <alignment textRotation="90"/>
      <protection hidden="1"/>
    </xf>
    <xf numFmtId="0" fontId="9" fillId="9" borderId="14" xfId="0" applyFont="1" applyFill="1" applyBorder="1" applyAlignment="1" applyProtection="1">
      <alignment horizontal="center" vertical="center"/>
      <protection hidden="1"/>
    </xf>
    <xf numFmtId="165" fontId="2" fillId="9" borderId="14" xfId="0" applyNumberFormat="1" applyFont="1" applyFill="1" applyBorder="1" applyAlignment="1" applyProtection="1">
      <alignment horizontal="center" vertical="center"/>
      <protection hidden="1"/>
    </xf>
    <xf numFmtId="165" fontId="2" fillId="9" borderId="9" xfId="0" applyNumberFormat="1" applyFont="1" applyFill="1" applyBorder="1" applyAlignment="1" applyProtection="1">
      <alignment horizontal="center" vertical="center"/>
      <protection hidden="1"/>
    </xf>
    <xf numFmtId="1" fontId="2" fillId="0" borderId="60" xfId="0" applyNumberFormat="1" applyFont="1" applyBorder="1" applyAlignment="1" applyProtection="1">
      <alignment horizontal="center" vertical="center"/>
      <protection hidden="1"/>
    </xf>
    <xf numFmtId="0" fontId="2" fillId="9" borderId="65" xfId="0" applyFont="1" applyFill="1" applyBorder="1" applyAlignment="1" applyProtection="1">
      <alignment horizontal="center" vertical="center"/>
      <protection hidden="1"/>
    </xf>
    <xf numFmtId="0" fontId="2" fillId="9" borderId="62" xfId="0" applyFont="1" applyFill="1" applyBorder="1" applyAlignment="1" applyProtection="1">
      <alignment horizontal="center" vertical="center"/>
      <protection hidden="1"/>
    </xf>
    <xf numFmtId="1" fontId="2" fillId="9" borderId="62" xfId="0" applyNumberFormat="1" applyFont="1" applyFill="1" applyBorder="1" applyAlignment="1" applyProtection="1">
      <alignment horizontal="center" vertical="center"/>
      <protection hidden="1"/>
    </xf>
    <xf numFmtId="0" fontId="2" fillId="9" borderId="64" xfId="0" applyFont="1" applyFill="1" applyBorder="1" applyAlignment="1" applyProtection="1">
      <alignment horizontal="center" vertical="center"/>
      <protection locked="0"/>
    </xf>
    <xf numFmtId="165" fontId="2" fillId="9" borderId="59" xfId="0" applyNumberFormat="1" applyFont="1" applyFill="1" applyBorder="1" applyAlignment="1" applyProtection="1">
      <alignment horizontal="center" vertical="center"/>
      <protection hidden="1"/>
    </xf>
    <xf numFmtId="165" fontId="2" fillId="9" borderId="14" xfId="0" applyNumberFormat="1" applyFont="1" applyFill="1" applyBorder="1" applyAlignment="1" applyProtection="1">
      <alignment horizontal="center" vertical="center"/>
      <protection locked="0"/>
    </xf>
    <xf numFmtId="0" fontId="2" fillId="9" borderId="66" xfId="0" applyFont="1" applyFill="1" applyBorder="1" applyAlignment="1" applyProtection="1">
      <alignment horizontal="center" vertical="center"/>
      <protection hidden="1"/>
    </xf>
    <xf numFmtId="0" fontId="2" fillId="9" borderId="7" xfId="0" applyFont="1" applyFill="1" applyBorder="1" applyAlignment="1" applyProtection="1">
      <alignment horizontal="center" vertical="center"/>
      <protection hidden="1"/>
    </xf>
    <xf numFmtId="0" fontId="2" fillId="9" borderId="22" xfId="0" applyFont="1" applyFill="1" applyBorder="1" applyAlignment="1" applyProtection="1">
      <alignment horizontal="center" vertical="center"/>
      <protection hidden="1"/>
    </xf>
    <xf numFmtId="1" fontId="2" fillId="9" borderId="23" xfId="0" applyNumberFormat="1" applyFont="1" applyFill="1" applyBorder="1" applyAlignment="1" applyProtection="1">
      <alignment horizontal="center" vertical="center"/>
      <protection hidden="1"/>
    </xf>
    <xf numFmtId="0" fontId="2" fillId="9" borderId="23" xfId="0" applyFont="1" applyFill="1" applyBorder="1" applyAlignment="1" applyProtection="1">
      <alignment horizontal="center" vertical="center"/>
      <protection hidden="1"/>
    </xf>
    <xf numFmtId="0" fontId="2" fillId="9" borderId="25" xfId="0" applyFont="1" applyFill="1" applyBorder="1" applyAlignment="1" applyProtection="1">
      <alignment horizontal="center" vertical="center"/>
      <protection hidden="1"/>
    </xf>
    <xf numFmtId="14" fontId="2" fillId="9" borderId="7" xfId="0" applyNumberFormat="1" applyFont="1" applyFill="1" applyBorder="1" applyAlignment="1" applyProtection="1">
      <alignment horizontal="center" vertical="center"/>
      <protection locked="0"/>
    </xf>
    <xf numFmtId="0" fontId="2" fillId="9" borderId="64" xfId="0" applyFont="1" applyFill="1" applyBorder="1" applyAlignment="1" applyProtection="1">
      <alignment horizontal="center" vertical="center"/>
      <protection hidden="1"/>
    </xf>
    <xf numFmtId="14" fontId="2" fillId="9" borderId="9" xfId="0" applyNumberFormat="1" applyFont="1" applyFill="1" applyBorder="1" applyAlignment="1" applyProtection="1">
      <alignment horizontal="center" vertical="center"/>
      <protection locked="0"/>
    </xf>
    <xf numFmtId="0" fontId="2" fillId="9" borderId="8" xfId="0" applyFont="1" applyFill="1" applyBorder="1" applyAlignment="1" applyProtection="1">
      <alignment horizontal="center" vertical="center"/>
      <protection hidden="1"/>
    </xf>
    <xf numFmtId="0" fontId="2" fillId="9" borderId="24" xfId="0" applyFont="1" applyFill="1" applyBorder="1" applyAlignment="1" applyProtection="1">
      <alignment horizontal="center" vertical="center"/>
      <protection hidden="1"/>
    </xf>
    <xf numFmtId="14" fontId="2" fillId="9" borderId="14" xfId="0" applyNumberFormat="1" applyFont="1" applyFill="1" applyBorder="1" applyAlignment="1" applyProtection="1">
      <alignment horizontal="center" vertical="center"/>
      <protection locked="0"/>
    </xf>
    <xf numFmtId="0" fontId="2" fillId="9" borderId="23" xfId="0" applyFont="1" applyFill="1" applyBorder="1" applyAlignment="1" applyProtection="1">
      <alignment horizontal="center" vertical="center"/>
      <protection locked="0"/>
    </xf>
    <xf numFmtId="0" fontId="2" fillId="9" borderId="62" xfId="0" applyFont="1" applyFill="1" applyBorder="1" applyAlignment="1" applyProtection="1">
      <alignment horizontal="center" vertical="center"/>
      <protection locked="0"/>
    </xf>
    <xf numFmtId="0" fontId="2" fillId="9" borderId="58" xfId="0" applyFont="1" applyFill="1" applyBorder="1" applyAlignment="1" applyProtection="1">
      <alignment horizontal="center" vertical="center"/>
      <protection locked="0"/>
    </xf>
    <xf numFmtId="165" fontId="2" fillId="0" borderId="8" xfId="0" applyNumberFormat="1" applyFont="1" applyBorder="1" applyAlignment="1" applyProtection="1">
      <alignment horizontal="center" vertical="center"/>
      <protection locked="0"/>
    </xf>
    <xf numFmtId="165" fontId="2" fillId="9" borderId="61" xfId="0" applyNumberFormat="1" applyFont="1" applyFill="1" applyBorder="1" applyAlignment="1" applyProtection="1">
      <alignment horizontal="center" vertical="center"/>
      <protection hidden="1"/>
    </xf>
    <xf numFmtId="0" fontId="2" fillId="9" borderId="61" xfId="0" applyFont="1" applyFill="1" applyBorder="1" applyAlignment="1" applyProtection="1">
      <alignment horizontal="center" vertical="center"/>
      <protection hidden="1"/>
    </xf>
    <xf numFmtId="165" fontId="2" fillId="9" borderId="60" xfId="0" applyNumberFormat="1" applyFont="1" applyFill="1" applyBorder="1" applyAlignment="1" applyProtection="1">
      <alignment horizontal="center" vertical="center"/>
      <protection hidden="1"/>
    </xf>
    <xf numFmtId="166" fontId="2" fillId="9" borderId="62" xfId="0" applyNumberFormat="1" applyFont="1" applyFill="1" applyBorder="1" applyAlignment="1" applyProtection="1">
      <alignment horizontal="center" vertical="center"/>
      <protection locked="0"/>
    </xf>
    <xf numFmtId="0" fontId="2" fillId="9" borderId="67" xfId="0" applyFont="1" applyFill="1" applyBorder="1" applyAlignment="1" applyProtection="1">
      <alignment horizontal="center" vertical="center"/>
      <protection locked="0"/>
    </xf>
    <xf numFmtId="0" fontId="2" fillId="9" borderId="65" xfId="0" applyFont="1" applyFill="1" applyBorder="1" applyAlignment="1" applyProtection="1">
      <alignment horizontal="center" vertical="center"/>
      <protection locked="0"/>
    </xf>
    <xf numFmtId="0" fontId="2" fillId="9" borderId="63" xfId="0" applyFont="1" applyFill="1" applyBorder="1" applyAlignment="1" applyProtection="1">
      <alignment horizontal="center" vertical="center"/>
      <protection locked="0"/>
    </xf>
    <xf numFmtId="0" fontId="9" fillId="11" borderId="7" xfId="0" applyFont="1" applyFill="1" applyBorder="1" applyAlignment="1" applyProtection="1">
      <alignment horizontal="center" vertical="center"/>
      <protection locked="0"/>
    </xf>
    <xf numFmtId="0" fontId="9" fillId="11" borderId="9" xfId="0" applyFont="1" applyFill="1" applyBorder="1" applyAlignment="1" applyProtection="1">
      <alignment horizontal="center" vertical="center"/>
      <protection locked="0"/>
    </xf>
    <xf numFmtId="0" fontId="9" fillId="12" borderId="7" xfId="0" applyFont="1" applyFill="1" applyBorder="1" applyAlignment="1" applyProtection="1">
      <alignment horizontal="center" vertical="center"/>
      <protection locked="0"/>
    </xf>
    <xf numFmtId="0" fontId="9" fillId="12" borderId="9" xfId="0" applyFont="1" applyFill="1" applyBorder="1" applyAlignment="1" applyProtection="1">
      <alignment horizontal="center" vertical="center"/>
      <protection locked="0"/>
    </xf>
    <xf numFmtId="0" fontId="9" fillId="13" borderId="7" xfId="0" applyFont="1" applyFill="1" applyBorder="1" applyAlignment="1" applyProtection="1">
      <alignment horizontal="center" vertical="center"/>
      <protection locked="0"/>
    </xf>
    <xf numFmtId="165" fontId="2" fillId="9" borderId="60" xfId="0" applyNumberFormat="1" applyFont="1" applyFill="1" applyBorder="1" applyAlignment="1" applyProtection="1">
      <alignment horizontal="center" vertical="center"/>
      <protection locked="0"/>
    </xf>
    <xf numFmtId="165" fontId="2" fillId="9" borderId="58" xfId="0" applyNumberFormat="1" applyFont="1" applyFill="1" applyBorder="1" applyAlignment="1" applyProtection="1">
      <alignment horizontal="center" vertical="center"/>
      <protection locked="0"/>
    </xf>
    <xf numFmtId="0" fontId="9" fillId="13" borderId="9" xfId="0" applyFont="1" applyFill="1" applyBorder="1" applyAlignment="1" applyProtection="1">
      <alignment horizontal="center" vertical="center"/>
      <protection locked="0"/>
    </xf>
    <xf numFmtId="166" fontId="2" fillId="9" borderId="65" xfId="0" applyNumberFormat="1" applyFont="1" applyFill="1" applyBorder="1" applyAlignment="1" applyProtection="1">
      <alignment horizontal="center" vertical="center"/>
      <protection locked="0"/>
    </xf>
    <xf numFmtId="166" fontId="2" fillId="9" borderId="63" xfId="0" applyNumberFormat="1" applyFont="1" applyFill="1" applyBorder="1" applyAlignment="1" applyProtection="1">
      <alignment horizontal="center" vertical="center"/>
      <protection locked="0"/>
    </xf>
    <xf numFmtId="1" fontId="12" fillId="3" borderId="9" xfId="0" applyNumberFormat="1" applyFont="1" applyFill="1" applyBorder="1" applyAlignment="1" applyProtection="1">
      <alignment horizontal="center" vertical="center"/>
      <protection locked="0"/>
    </xf>
    <xf numFmtId="166" fontId="2" fillId="9" borderId="60" xfId="0" applyNumberFormat="1" applyFont="1" applyFill="1" applyBorder="1" applyAlignment="1" applyProtection="1">
      <alignment horizontal="center" vertical="center"/>
      <protection locked="0"/>
    </xf>
    <xf numFmtId="1" fontId="9" fillId="4" borderId="9" xfId="0" applyNumberFormat="1" applyFont="1" applyFill="1" applyBorder="1" applyAlignment="1" applyProtection="1">
      <alignment horizontal="center" vertical="center"/>
      <protection locked="0"/>
    </xf>
    <xf numFmtId="166" fontId="2" fillId="9" borderId="67" xfId="0" applyNumberFormat="1" applyFont="1" applyFill="1" applyBorder="1" applyAlignment="1" applyProtection="1">
      <alignment horizontal="center" vertical="center"/>
      <protection locked="0"/>
    </xf>
    <xf numFmtId="166" fontId="2" fillId="9" borderId="23" xfId="0" applyNumberFormat="1" applyFont="1" applyFill="1" applyBorder="1" applyAlignment="1" applyProtection="1">
      <alignment horizontal="center" vertical="center"/>
      <protection locked="0"/>
    </xf>
    <xf numFmtId="166" fontId="2" fillId="9" borderId="22" xfId="0" applyNumberFormat="1" applyFont="1" applyFill="1" applyBorder="1" applyAlignment="1" applyProtection="1">
      <alignment horizontal="center" vertical="center"/>
      <protection locked="0"/>
    </xf>
    <xf numFmtId="166" fontId="2" fillId="9" borderId="24" xfId="0" applyNumberFormat="1" applyFont="1" applyFill="1" applyBorder="1" applyAlignment="1" applyProtection="1">
      <alignment horizontal="center" vertical="center"/>
      <protection locked="0"/>
    </xf>
    <xf numFmtId="1" fontId="9" fillId="5" borderId="9" xfId="0" applyNumberFormat="1" applyFont="1" applyFill="1" applyBorder="1" applyAlignment="1" applyProtection="1">
      <alignment horizontal="center" vertical="center"/>
      <protection locked="0"/>
    </xf>
    <xf numFmtId="1" fontId="9" fillId="6" borderId="9" xfId="0" applyNumberFormat="1" applyFont="1" applyFill="1" applyBorder="1" applyAlignment="1" applyProtection="1">
      <alignment horizontal="center" vertical="center"/>
      <protection locked="0"/>
    </xf>
    <xf numFmtId="1" fontId="9" fillId="10" borderId="9" xfId="0" applyNumberFormat="1" applyFont="1" applyFill="1" applyBorder="1" applyAlignment="1" applyProtection="1">
      <alignment horizontal="center" vertical="center"/>
      <protection locked="0"/>
    </xf>
    <xf numFmtId="166" fontId="2" fillId="9" borderId="58" xfId="0" applyNumberFormat="1" applyFont="1" applyFill="1" applyBorder="1" applyAlignment="1" applyProtection="1">
      <alignment horizontal="center" vertical="center"/>
      <protection locked="0"/>
    </xf>
    <xf numFmtId="0" fontId="2" fillId="9" borderId="7" xfId="0" applyFont="1" applyFill="1" applyBorder="1" applyAlignment="1" applyProtection="1">
      <alignment horizontal="center" vertical="center"/>
      <protection locked="0"/>
    </xf>
    <xf numFmtId="0" fontId="9" fillId="14" borderId="23" xfId="0" applyFont="1" applyFill="1" applyBorder="1" applyAlignment="1" applyProtection="1">
      <alignment horizontal="center" vertical="center"/>
      <protection locked="0"/>
    </xf>
    <xf numFmtId="0" fontId="9" fillId="9" borderId="7" xfId="0" applyFont="1" applyFill="1" applyBorder="1" applyAlignment="1" applyProtection="1">
      <alignment horizontal="center" vertical="center"/>
      <protection locked="0"/>
    </xf>
    <xf numFmtId="0" fontId="9" fillId="14" borderId="9" xfId="0" applyFont="1" applyFill="1" applyBorder="1" applyAlignment="1" applyProtection="1">
      <alignment horizontal="center" vertical="center"/>
      <protection locked="0"/>
    </xf>
    <xf numFmtId="0" fontId="9" fillId="15" borderId="23" xfId="0" applyFont="1" applyFill="1" applyBorder="1" applyAlignment="1" applyProtection="1">
      <alignment horizontal="center" vertical="center"/>
      <protection locked="0"/>
    </xf>
    <xf numFmtId="0" fontId="9" fillId="15" borderId="9" xfId="0" applyFont="1" applyFill="1" applyBorder="1" applyAlignment="1" applyProtection="1">
      <alignment horizontal="center" vertical="center"/>
      <protection locked="0"/>
    </xf>
    <xf numFmtId="0" fontId="16" fillId="16" borderId="23" xfId="0" applyFont="1" applyFill="1" applyBorder="1" applyAlignment="1" applyProtection="1">
      <alignment horizontal="center" vertical="center"/>
      <protection locked="0"/>
    </xf>
    <xf numFmtId="0" fontId="16" fillId="16" borderId="9" xfId="0" applyFont="1" applyFill="1" applyBorder="1" applyAlignment="1" applyProtection="1">
      <alignment horizontal="center" vertical="center"/>
      <protection locked="0"/>
    </xf>
    <xf numFmtId="0" fontId="17" fillId="0" borderId="67" xfId="0" applyFont="1" applyBorder="1" applyAlignment="1" applyProtection="1">
      <alignment horizontal="center" vertical="center"/>
      <protection locked="0"/>
    </xf>
    <xf numFmtId="0" fontId="9" fillId="10" borderId="23" xfId="0" applyFont="1" applyFill="1" applyBorder="1" applyAlignment="1" applyProtection="1">
      <alignment horizontal="center" vertical="center"/>
      <protection locked="0"/>
    </xf>
    <xf numFmtId="0" fontId="9" fillId="10" borderId="9" xfId="0" applyFont="1" applyFill="1" applyBorder="1" applyAlignment="1" applyProtection="1">
      <alignment horizontal="center" vertical="center"/>
      <protection locked="0"/>
    </xf>
    <xf numFmtId="0" fontId="9" fillId="19" borderId="7" xfId="0" applyFont="1" applyFill="1" applyBorder="1" applyAlignment="1" applyProtection="1">
      <alignment horizontal="center" vertical="center"/>
      <protection locked="0"/>
    </xf>
    <xf numFmtId="0" fontId="9" fillId="19" borderId="23" xfId="0" applyFont="1" applyFill="1" applyBorder="1" applyAlignment="1" applyProtection="1">
      <alignment horizontal="center" vertical="center"/>
      <protection locked="0"/>
    </xf>
    <xf numFmtId="0" fontId="9" fillId="19" borderId="58" xfId="0" applyFont="1" applyFill="1" applyBorder="1" applyAlignment="1" applyProtection="1">
      <alignment horizontal="center" vertical="center"/>
      <protection locked="0"/>
    </xf>
    <xf numFmtId="0" fontId="2" fillId="2" borderId="61" xfId="0" applyFont="1" applyFill="1" applyBorder="1" applyAlignment="1" applyProtection="1">
      <alignment horizontal="center" vertical="center"/>
      <protection hidden="1"/>
    </xf>
    <xf numFmtId="0" fontId="9" fillId="2" borderId="9" xfId="0" applyFont="1" applyFill="1" applyBorder="1" applyAlignment="1" applyProtection="1">
      <alignment vertical="center"/>
      <protection hidden="1"/>
    </xf>
    <xf numFmtId="0" fontId="2" fillId="9" borderId="14" xfId="0" applyFont="1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vertical="center"/>
      <protection hidden="1"/>
    </xf>
    <xf numFmtId="0" fontId="11" fillId="2" borderId="0" xfId="0" applyFont="1" applyFill="1" applyAlignment="1" applyProtection="1">
      <alignment horizontal="center" vertical="center" textRotation="90"/>
      <protection hidden="1"/>
    </xf>
    <xf numFmtId="0" fontId="9" fillId="2" borderId="2" xfId="0" applyFont="1" applyFill="1" applyBorder="1" applyAlignment="1" applyProtection="1">
      <alignment vertical="center"/>
      <protection hidden="1"/>
    </xf>
    <xf numFmtId="0" fontId="2" fillId="2" borderId="2" xfId="0" applyFont="1" applyFill="1" applyBorder="1" applyAlignment="1" applyProtection="1">
      <alignment vertical="center"/>
      <protection hidden="1"/>
    </xf>
    <xf numFmtId="0" fontId="1" fillId="2" borderId="0" xfId="0" applyFont="1" applyFill="1" applyAlignment="1" applyProtection="1">
      <alignment vertical="center"/>
      <protection hidden="1"/>
    </xf>
    <xf numFmtId="0" fontId="12" fillId="2" borderId="0" xfId="0" applyFont="1" applyFill="1" applyAlignment="1" applyProtection="1">
      <alignment horizontal="center" vertical="center"/>
      <protection hidden="1"/>
    </xf>
    <xf numFmtId="0" fontId="12" fillId="2" borderId="56" xfId="0" applyFont="1" applyFill="1" applyBorder="1" applyAlignment="1" applyProtection="1">
      <alignment horizontal="center" vertical="center"/>
      <protection hidden="1"/>
    </xf>
    <xf numFmtId="0" fontId="1" fillId="2" borderId="2" xfId="0" applyFont="1" applyFill="1" applyBorder="1" applyAlignment="1" applyProtection="1">
      <alignment horizontal="center" vertical="center"/>
      <protection hidden="1"/>
    </xf>
    <xf numFmtId="0" fontId="1" fillId="3" borderId="0" xfId="0" applyFont="1" applyFill="1" applyAlignment="1" applyProtection="1">
      <alignment horizontal="center" vertical="center"/>
      <protection hidden="1"/>
    </xf>
    <xf numFmtId="0" fontId="18" fillId="2" borderId="0" xfId="0" applyFont="1" applyFill="1" applyAlignment="1" applyProtection="1">
      <alignment horizontal="left" vertical="center"/>
      <protection hidden="1"/>
    </xf>
    <xf numFmtId="0" fontId="18" fillId="2" borderId="0" xfId="0" applyFont="1" applyFill="1" applyAlignment="1" applyProtection="1">
      <alignment horizontal="center" vertical="center"/>
      <protection hidden="1"/>
    </xf>
    <xf numFmtId="0" fontId="9" fillId="2" borderId="0" xfId="0" applyFont="1" applyFill="1" applyAlignment="1" applyProtection="1">
      <alignment horizontal="center" vertical="center"/>
      <protection hidden="1"/>
    </xf>
    <xf numFmtId="0" fontId="19" fillId="2" borderId="0" xfId="0" applyFont="1" applyFill="1" applyAlignment="1" applyProtection="1">
      <alignment horizontal="center" vertical="center"/>
      <protection hidden="1"/>
    </xf>
    <xf numFmtId="0" fontId="1" fillId="4" borderId="0" xfId="0" applyFont="1" applyFill="1" applyAlignment="1" applyProtection="1">
      <alignment horizontal="center" vertical="center"/>
      <protection hidden="1"/>
    </xf>
    <xf numFmtId="0" fontId="2" fillId="5" borderId="0" xfId="0" applyFont="1" applyFill="1" applyAlignment="1" applyProtection="1">
      <alignment horizontal="center" vertical="center"/>
      <protection hidden="1"/>
    </xf>
    <xf numFmtId="0" fontId="1" fillId="6" borderId="0" xfId="0" applyFont="1" applyFill="1" applyAlignment="1" applyProtection="1">
      <alignment horizontal="center" vertical="center"/>
      <protection hidden="1"/>
    </xf>
    <xf numFmtId="0" fontId="1" fillId="10" borderId="0" xfId="0" applyFont="1" applyFill="1" applyAlignment="1" applyProtection="1">
      <alignment horizontal="center" vertical="center"/>
      <protection hidden="1"/>
    </xf>
    <xf numFmtId="0" fontId="1" fillId="0" borderId="2" xfId="0" applyFont="1" applyBorder="1" applyAlignment="1" applyProtection="1">
      <alignment horizontal="center" textRotation="90"/>
      <protection hidden="1"/>
    </xf>
    <xf numFmtId="0" fontId="1" fillId="0" borderId="18" xfId="0" applyFont="1" applyBorder="1" applyAlignment="1" applyProtection="1">
      <alignment horizontal="center" textRotation="90"/>
      <protection hidden="1"/>
    </xf>
    <xf numFmtId="0" fontId="1" fillId="0" borderId="20" xfId="0" applyFont="1" applyBorder="1" applyAlignment="1" applyProtection="1">
      <alignment horizontal="center" textRotation="90"/>
      <protection hidden="1"/>
    </xf>
    <xf numFmtId="0" fontId="20" fillId="2" borderId="14" xfId="0" applyFont="1" applyFill="1" applyBorder="1" applyAlignment="1" applyProtection="1">
      <alignment horizontal="center"/>
      <protection hidden="1"/>
    </xf>
    <xf numFmtId="0" fontId="1" fillId="2" borderId="14" xfId="0" applyFont="1" applyFill="1" applyBorder="1" applyAlignment="1" applyProtection="1">
      <alignment horizontal="center" wrapText="1"/>
      <protection hidden="1"/>
    </xf>
    <xf numFmtId="0" fontId="1" fillId="0" borderId="21" xfId="0" applyFont="1" applyBorder="1" applyAlignment="1" applyProtection="1">
      <alignment horizontal="center" wrapText="1"/>
      <protection hidden="1"/>
    </xf>
    <xf numFmtId="0" fontId="1" fillId="0" borderId="4" xfId="0" applyFont="1" applyBorder="1" applyAlignment="1" applyProtection="1">
      <alignment horizontal="center" wrapText="1"/>
      <protection hidden="1"/>
    </xf>
    <xf numFmtId="0" fontId="1" fillId="0" borderId="5" xfId="0" applyFont="1" applyBorder="1" applyAlignment="1" applyProtection="1">
      <alignment horizontal="center" textRotation="90"/>
      <protection hidden="1"/>
    </xf>
    <xf numFmtId="0" fontId="1" fillId="0" borderId="14" xfId="0" applyFont="1" applyBorder="1" applyAlignment="1" applyProtection="1">
      <alignment horizontal="center" wrapText="1"/>
      <protection hidden="1"/>
    </xf>
    <xf numFmtId="0" fontId="1" fillId="0" borderId="8" xfId="0" applyFont="1" applyBorder="1" applyAlignment="1" applyProtection="1">
      <alignment horizontal="center" textRotation="90"/>
      <protection hidden="1"/>
    </xf>
    <xf numFmtId="0" fontId="1" fillId="0" borderId="22" xfId="0" applyFont="1" applyBorder="1" applyAlignment="1" applyProtection="1">
      <alignment horizontal="center" textRotation="90"/>
      <protection hidden="1"/>
    </xf>
    <xf numFmtId="0" fontId="1" fillId="0" borderId="23" xfId="0" applyFont="1" applyBorder="1" applyAlignment="1" applyProtection="1">
      <alignment horizontal="center" textRotation="90"/>
      <protection hidden="1"/>
    </xf>
    <xf numFmtId="0" fontId="1" fillId="0" borderId="7" xfId="0" applyFont="1" applyBorder="1" applyAlignment="1" applyProtection="1">
      <alignment horizontal="center" textRotation="90"/>
      <protection hidden="1"/>
    </xf>
    <xf numFmtId="0" fontId="1" fillId="0" borderId="24" xfId="0" applyFont="1" applyBorder="1" applyAlignment="1" applyProtection="1">
      <alignment horizontal="center" textRotation="90"/>
      <protection hidden="1"/>
    </xf>
    <xf numFmtId="0" fontId="1" fillId="0" borderId="25" xfId="0" applyFont="1" applyBorder="1" applyAlignment="1" applyProtection="1">
      <alignment horizontal="center" textRotation="90"/>
      <protection hidden="1"/>
    </xf>
    <xf numFmtId="0" fontId="2" fillId="3" borderId="28" xfId="0" applyFont="1" applyFill="1" applyBorder="1" applyAlignment="1" applyProtection="1">
      <alignment horizontal="center" vertical="center"/>
      <protection hidden="1"/>
    </xf>
    <xf numFmtId="0" fontId="2" fillId="2" borderId="28" xfId="0" applyFont="1" applyFill="1" applyBorder="1" applyAlignment="1" applyProtection="1">
      <alignment horizontal="center" vertical="center"/>
      <protection locked="0"/>
    </xf>
    <xf numFmtId="0" fontId="2" fillId="2" borderId="27" xfId="0" applyFont="1" applyFill="1" applyBorder="1" applyAlignment="1" applyProtection="1">
      <alignment horizontal="center" vertical="center"/>
      <protection locked="0"/>
    </xf>
    <xf numFmtId="0" fontId="2" fillId="2" borderId="29" xfId="0" applyFont="1" applyFill="1" applyBorder="1" applyAlignment="1" applyProtection="1">
      <alignment horizontal="center" vertical="center"/>
      <protection locked="0"/>
    </xf>
    <xf numFmtId="0" fontId="2" fillId="2" borderId="50" xfId="0" applyFont="1" applyFill="1" applyBorder="1" applyAlignment="1" applyProtection="1">
      <alignment horizontal="center" vertical="center"/>
      <protection locked="0"/>
    </xf>
    <xf numFmtId="0" fontId="2" fillId="2" borderId="28" xfId="0" applyFont="1" applyFill="1" applyBorder="1" applyAlignment="1" applyProtection="1">
      <alignment horizontal="center" vertical="center"/>
      <protection hidden="1"/>
    </xf>
    <xf numFmtId="0" fontId="2" fillId="2" borderId="37" xfId="0" applyFont="1" applyFill="1" applyBorder="1" applyAlignment="1" applyProtection="1">
      <alignment horizontal="center" vertical="center"/>
      <protection locked="0"/>
    </xf>
    <xf numFmtId="0" fontId="9" fillId="9" borderId="38" xfId="0" applyFont="1" applyFill="1" applyBorder="1" applyAlignment="1" applyProtection="1">
      <alignment textRotation="90"/>
      <protection hidden="1"/>
    </xf>
    <xf numFmtId="14" fontId="2" fillId="9" borderId="28" xfId="0" applyNumberFormat="1" applyFont="1" applyFill="1" applyBorder="1" applyAlignment="1" applyProtection="1">
      <alignment horizontal="center" vertical="center"/>
      <protection locked="0"/>
    </xf>
    <xf numFmtId="0" fontId="9" fillId="2" borderId="28" xfId="0" applyFont="1" applyFill="1" applyBorder="1" applyAlignment="1" applyProtection="1">
      <alignment horizontal="center" vertical="center"/>
      <protection hidden="1"/>
    </xf>
    <xf numFmtId="0" fontId="2" fillId="2" borderId="26" xfId="0" applyFont="1" applyFill="1" applyBorder="1" applyAlignment="1" applyProtection="1">
      <alignment horizontal="center" vertical="center" textRotation="90"/>
      <protection hidden="1"/>
    </xf>
    <xf numFmtId="1" fontId="2" fillId="0" borderId="33" xfId="0" applyNumberFormat="1" applyFont="1" applyBorder="1" applyAlignment="1" applyProtection="1">
      <alignment horizontal="center" vertical="center"/>
      <protection hidden="1"/>
    </xf>
    <xf numFmtId="0" fontId="2" fillId="9" borderId="31" xfId="0" applyFont="1" applyFill="1" applyBorder="1" applyAlignment="1" applyProtection="1">
      <alignment horizontal="center" vertical="center"/>
      <protection locked="0"/>
    </xf>
    <xf numFmtId="165" fontId="2" fillId="9" borderId="28" xfId="0" applyNumberFormat="1" applyFont="1" applyFill="1" applyBorder="1" applyAlignment="1" applyProtection="1">
      <alignment horizontal="center" vertical="center"/>
      <protection hidden="1"/>
    </xf>
    <xf numFmtId="165" fontId="2" fillId="9" borderId="28" xfId="0" applyNumberFormat="1" applyFont="1" applyFill="1" applyBorder="1" applyAlignment="1" applyProtection="1">
      <alignment horizontal="center" vertical="center"/>
      <protection locked="0"/>
    </xf>
    <xf numFmtId="0" fontId="2" fillId="9" borderId="35" xfId="0" applyFont="1" applyFill="1" applyBorder="1" applyAlignment="1" applyProtection="1">
      <alignment horizontal="center" vertical="center"/>
      <protection locked="0"/>
    </xf>
    <xf numFmtId="0" fontId="2" fillId="2" borderId="42" xfId="0" applyFont="1" applyFill="1" applyBorder="1" applyAlignment="1" applyProtection="1">
      <alignment horizontal="center" vertical="center"/>
      <protection hidden="1"/>
    </xf>
    <xf numFmtId="0" fontId="12" fillId="3" borderId="27" xfId="0" applyFont="1" applyFill="1" applyBorder="1" applyAlignment="1" applyProtection="1">
      <alignment horizontal="center" vertical="center"/>
      <protection locked="0"/>
    </xf>
    <xf numFmtId="165" fontId="2" fillId="9" borderId="33" xfId="0" applyNumberFormat="1" applyFont="1" applyFill="1" applyBorder="1" applyAlignment="1" applyProtection="1">
      <alignment horizontal="center" vertical="center"/>
      <protection hidden="1"/>
    </xf>
    <xf numFmtId="0" fontId="2" fillId="2" borderId="30" xfId="0" applyFont="1" applyFill="1" applyBorder="1" applyAlignment="1" applyProtection="1">
      <alignment horizontal="center" vertical="center"/>
      <protection locked="0"/>
    </xf>
    <xf numFmtId="0" fontId="2" fillId="2" borderId="31" xfId="0" applyFont="1" applyFill="1" applyBorder="1" applyAlignment="1" applyProtection="1">
      <alignment horizontal="center" vertical="center"/>
      <protection locked="0"/>
    </xf>
    <xf numFmtId="0" fontId="2" fillId="2" borderId="32" xfId="0" applyFont="1" applyFill="1" applyBorder="1" applyAlignment="1" applyProtection="1">
      <alignment horizontal="center" vertical="center"/>
      <protection locked="0"/>
    </xf>
    <xf numFmtId="0" fontId="2" fillId="2" borderId="35" xfId="0" applyFont="1" applyFill="1" applyBorder="1" applyAlignment="1" applyProtection="1">
      <alignment horizontal="center" vertical="center"/>
      <protection locked="0"/>
    </xf>
    <xf numFmtId="0" fontId="21" fillId="2" borderId="27" xfId="0" applyFont="1" applyFill="1" applyBorder="1" applyAlignment="1" applyProtection="1">
      <alignment horizontal="center" vertical="center"/>
      <protection locked="0"/>
    </xf>
    <xf numFmtId="0" fontId="21" fillId="2" borderId="29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vertical="center"/>
      <protection hidden="1"/>
    </xf>
    <xf numFmtId="0" fontId="22" fillId="2" borderId="0" xfId="0" applyFont="1" applyFill="1" applyAlignment="1" applyProtection="1">
      <alignment horizontal="center" vertical="center"/>
      <protection hidden="1"/>
    </xf>
    <xf numFmtId="0" fontId="21" fillId="2" borderId="0" xfId="0" applyFont="1" applyFill="1" applyAlignment="1" applyProtection="1">
      <alignment horizontal="center" vertical="center"/>
      <protection hidden="1"/>
    </xf>
    <xf numFmtId="1" fontId="2" fillId="2" borderId="30" xfId="0" applyNumberFormat="1" applyFont="1" applyFill="1" applyBorder="1" applyAlignment="1" applyProtection="1">
      <alignment horizontal="center" vertical="center"/>
      <protection hidden="1"/>
    </xf>
    <xf numFmtId="0" fontId="2" fillId="20" borderId="28" xfId="0" applyFont="1" applyFill="1" applyBorder="1" applyAlignment="1" applyProtection="1">
      <alignment horizontal="center" vertical="center"/>
      <protection hidden="1"/>
    </xf>
    <xf numFmtId="0" fontId="2" fillId="21" borderId="28" xfId="0" applyFont="1" applyFill="1" applyBorder="1" applyAlignment="1" applyProtection="1">
      <alignment horizontal="center" vertical="center"/>
      <protection hidden="1"/>
    </xf>
    <xf numFmtId="0" fontId="2" fillId="4" borderId="28" xfId="0" applyFont="1" applyFill="1" applyBorder="1" applyAlignment="1" applyProtection="1">
      <alignment horizontal="center" vertical="center"/>
      <protection hidden="1"/>
    </xf>
    <xf numFmtId="0" fontId="2" fillId="22" borderId="28" xfId="0" applyFont="1" applyFill="1" applyBorder="1" applyAlignment="1" applyProtection="1">
      <alignment horizontal="center" vertical="center"/>
      <protection hidden="1"/>
    </xf>
    <xf numFmtId="0" fontId="9" fillId="24" borderId="0" xfId="0" applyFont="1" applyFill="1" applyAlignment="1" applyProtection="1">
      <alignment horizontal="center" vertical="center"/>
      <protection locked="0"/>
    </xf>
    <xf numFmtId="164" fontId="2" fillId="22" borderId="28" xfId="0" applyNumberFormat="1" applyFont="1" applyFill="1" applyBorder="1" applyAlignment="1" applyProtection="1">
      <alignment horizontal="center" vertical="center"/>
      <protection hidden="1"/>
    </xf>
    <xf numFmtId="0" fontId="2" fillId="5" borderId="28" xfId="0" applyFont="1" applyFill="1" applyBorder="1" applyAlignment="1" applyProtection="1">
      <alignment horizontal="center" vertical="center"/>
      <protection hidden="1"/>
    </xf>
    <xf numFmtId="0" fontId="2" fillId="6" borderId="28" xfId="0" applyFont="1" applyFill="1" applyBorder="1" applyAlignment="1" applyProtection="1">
      <alignment horizontal="center" vertical="center"/>
      <protection hidden="1"/>
    </xf>
    <xf numFmtId="0" fontId="2" fillId="10" borderId="28" xfId="0" applyFont="1" applyFill="1" applyBorder="1" applyAlignment="1" applyProtection="1">
      <alignment horizontal="center" vertical="center"/>
      <protection hidden="1"/>
    </xf>
    <xf numFmtId="0" fontId="2" fillId="23" borderId="28" xfId="0" applyFont="1" applyFill="1" applyBorder="1" applyAlignment="1" applyProtection="1">
      <alignment horizontal="center" vertical="center"/>
      <protection hidden="1"/>
    </xf>
    <xf numFmtId="0" fontId="2" fillId="25" borderId="28" xfId="0" applyFont="1" applyFill="1" applyBorder="1" applyAlignment="1" applyProtection="1">
      <alignment horizontal="center" vertical="center"/>
      <protection hidden="1"/>
    </xf>
    <xf numFmtId="0" fontId="2" fillId="19" borderId="28" xfId="0" applyFont="1" applyFill="1" applyBorder="1" applyAlignment="1" applyProtection="1">
      <alignment horizontal="center" vertical="center"/>
      <protection hidden="1"/>
    </xf>
    <xf numFmtId="0" fontId="2" fillId="3" borderId="0" xfId="0" applyFont="1" applyFill="1" applyAlignment="1" applyProtection="1">
      <alignment horizontal="center" vertical="center"/>
      <protection hidden="1"/>
    </xf>
    <xf numFmtId="0" fontId="2" fillId="22" borderId="0" xfId="0" applyFont="1" applyFill="1" applyAlignment="1" applyProtection="1">
      <alignment horizontal="center" vertical="center"/>
      <protection hidden="1"/>
    </xf>
    <xf numFmtId="0" fontId="2" fillId="21" borderId="0" xfId="0" applyFont="1" applyFill="1" applyAlignment="1" applyProtection="1">
      <alignment horizontal="center" vertical="center"/>
      <protection hidden="1"/>
    </xf>
    <xf numFmtId="0" fontId="2" fillId="20" borderId="0" xfId="0" applyFont="1" applyFill="1" applyAlignment="1" applyProtection="1">
      <alignment horizontal="center" vertical="center"/>
      <protection hidden="1"/>
    </xf>
    <xf numFmtId="166" fontId="2" fillId="2" borderId="35" xfId="0" applyNumberFormat="1" applyFont="1" applyFill="1" applyBorder="1" applyAlignment="1" applyProtection="1">
      <alignment horizontal="center" vertical="center"/>
      <protection locked="0"/>
    </xf>
    <xf numFmtId="0" fontId="2" fillId="2" borderId="43" xfId="0" applyFont="1" applyFill="1" applyBorder="1" applyAlignment="1" applyProtection="1">
      <alignment horizontal="center" vertical="center"/>
      <protection locked="0"/>
    </xf>
    <xf numFmtId="0" fontId="2" fillId="2" borderId="46" xfId="0" applyFont="1" applyFill="1" applyBorder="1" applyAlignment="1" applyProtection="1">
      <alignment horizontal="center" vertical="center"/>
      <protection locked="0"/>
    </xf>
    <xf numFmtId="0" fontId="2" fillId="2" borderId="49" xfId="0" applyFont="1" applyFill="1" applyBorder="1" applyAlignment="1" applyProtection="1">
      <alignment horizontal="center" vertical="center"/>
      <protection locked="0"/>
    </xf>
    <xf numFmtId="0" fontId="2" fillId="2" borderId="48" xfId="0" applyFont="1" applyFill="1" applyBorder="1" applyAlignment="1" applyProtection="1">
      <alignment horizontal="center" vertical="center"/>
      <protection locked="0"/>
    </xf>
    <xf numFmtId="0" fontId="2" fillId="2" borderId="0" xfId="0" applyFont="1" applyFill="1" applyAlignment="1" applyProtection="1">
      <alignment horizontal="center" vertical="center"/>
      <protection locked="0"/>
    </xf>
    <xf numFmtId="0" fontId="2" fillId="2" borderId="39" xfId="0" applyFont="1" applyFill="1" applyBorder="1" applyAlignment="1" applyProtection="1">
      <alignment horizontal="center" vertical="center"/>
      <protection locked="0"/>
    </xf>
    <xf numFmtId="0" fontId="2" fillId="2" borderId="47" xfId="0" applyFont="1" applyFill="1" applyBorder="1" applyAlignment="1" applyProtection="1">
      <alignment horizontal="center" vertical="center"/>
      <protection locked="0"/>
    </xf>
    <xf numFmtId="0" fontId="22" fillId="2" borderId="28" xfId="0" applyFont="1" applyFill="1" applyBorder="1" applyAlignment="1" applyProtection="1">
      <alignment horizontal="center" vertical="center"/>
      <protection locked="0"/>
    </xf>
    <xf numFmtId="0" fontId="2" fillId="2" borderId="52" xfId="0" applyFont="1" applyFill="1" applyBorder="1" applyAlignment="1" applyProtection="1">
      <alignment horizontal="center" vertical="center"/>
      <protection locked="0"/>
    </xf>
    <xf numFmtId="1" fontId="2" fillId="2" borderId="28" xfId="0" applyNumberFormat="1" applyFont="1" applyFill="1" applyBorder="1" applyAlignment="1" applyProtection="1">
      <alignment horizontal="center" vertical="center"/>
      <protection hidden="1"/>
    </xf>
    <xf numFmtId="0" fontId="2" fillId="2" borderId="35" xfId="0" applyFont="1" applyFill="1" applyBorder="1" applyAlignment="1" applyProtection="1">
      <alignment horizontal="center" vertical="center"/>
      <protection hidden="1"/>
    </xf>
    <xf numFmtId="0" fontId="2" fillId="2" borderId="29" xfId="0" applyFont="1" applyFill="1" applyBorder="1" applyAlignment="1" applyProtection="1">
      <alignment horizontal="center" vertical="center"/>
      <protection hidden="1"/>
    </xf>
    <xf numFmtId="1" fontId="2" fillId="2" borderId="29" xfId="0" applyNumberFormat="1" applyFont="1" applyFill="1" applyBorder="1" applyAlignment="1" applyProtection="1">
      <alignment horizontal="center" vertical="center"/>
      <protection hidden="1"/>
    </xf>
    <xf numFmtId="0" fontId="2" fillId="2" borderId="27" xfId="0" applyFont="1" applyFill="1" applyBorder="1" applyAlignment="1" applyProtection="1">
      <alignment horizontal="center" vertical="center"/>
      <protection hidden="1"/>
    </xf>
    <xf numFmtId="0" fontId="2" fillId="2" borderId="30" xfId="0" applyFont="1" applyFill="1" applyBorder="1" applyAlignment="1" applyProtection="1">
      <alignment horizontal="center" vertical="center"/>
      <protection hidden="1"/>
    </xf>
    <xf numFmtId="0" fontId="2" fillId="2" borderId="31" xfId="0" applyFont="1" applyFill="1" applyBorder="1" applyAlignment="1" applyProtection="1">
      <alignment horizontal="center" vertical="center"/>
      <protection hidden="1"/>
    </xf>
    <xf numFmtId="0" fontId="2" fillId="2" borderId="44" xfId="0" applyFont="1" applyFill="1" applyBorder="1" applyAlignment="1" applyProtection="1">
      <alignment horizontal="center" vertical="center"/>
      <protection locked="0"/>
    </xf>
    <xf numFmtId="165" fontId="2" fillId="2" borderId="44" xfId="0" applyNumberFormat="1" applyFont="1" applyFill="1" applyBorder="1" applyAlignment="1" applyProtection="1">
      <alignment horizontal="center" vertical="center"/>
      <protection locked="0"/>
    </xf>
    <xf numFmtId="166" fontId="2" fillId="2" borderId="28" xfId="0" applyNumberFormat="1" applyFont="1" applyFill="1" applyBorder="1" applyAlignment="1" applyProtection="1">
      <alignment horizontal="center" vertical="center"/>
      <protection locked="0"/>
    </xf>
    <xf numFmtId="166" fontId="2" fillId="2" borderId="52" xfId="0" applyNumberFormat="1" applyFont="1" applyFill="1" applyBorder="1" applyAlignment="1" applyProtection="1">
      <alignment horizontal="center" vertical="center"/>
      <protection locked="0"/>
    </xf>
    <xf numFmtId="166" fontId="2" fillId="2" borderId="41" xfId="0" applyNumberFormat="1" applyFont="1" applyFill="1" applyBorder="1" applyAlignment="1" applyProtection="1">
      <alignment horizontal="center" vertical="center"/>
      <protection locked="0"/>
    </xf>
    <xf numFmtId="166" fontId="2" fillId="2" borderId="37" xfId="0" applyNumberFormat="1" applyFont="1" applyFill="1" applyBorder="1" applyAlignment="1" applyProtection="1">
      <alignment horizontal="center" vertical="center"/>
      <protection locked="0"/>
    </xf>
    <xf numFmtId="0" fontId="2" fillId="9" borderId="45" xfId="0" applyFont="1" applyFill="1" applyBorder="1" applyAlignment="1" applyProtection="1">
      <alignment horizontal="center" vertical="center"/>
      <protection locked="0"/>
    </xf>
    <xf numFmtId="0" fontId="18" fillId="2" borderId="0" xfId="0" applyFont="1" applyFill="1" applyAlignment="1" applyProtection="1">
      <alignment vertical="center"/>
      <protection hidden="1"/>
    </xf>
    <xf numFmtId="14" fontId="2" fillId="2" borderId="28" xfId="0" applyNumberFormat="1" applyFont="1" applyFill="1" applyBorder="1" applyAlignment="1" applyProtection="1">
      <alignment horizontal="center" vertical="center"/>
      <protection hidden="1"/>
    </xf>
    <xf numFmtId="0" fontId="2" fillId="2" borderId="50" xfId="0" applyFont="1" applyFill="1" applyBorder="1" applyAlignment="1" applyProtection="1">
      <alignment horizontal="center" vertical="center"/>
      <protection hidden="1"/>
    </xf>
    <xf numFmtId="0" fontId="2" fillId="2" borderId="46" xfId="0" applyFont="1" applyFill="1" applyBorder="1" applyAlignment="1" applyProtection="1">
      <alignment horizontal="center" vertical="center"/>
      <protection hidden="1"/>
    </xf>
    <xf numFmtId="0" fontId="2" fillId="2" borderId="33" xfId="0" applyFont="1" applyFill="1" applyBorder="1" applyAlignment="1" applyProtection="1">
      <alignment horizontal="center" vertical="center"/>
      <protection hidden="1"/>
    </xf>
    <xf numFmtId="1" fontId="9" fillId="2" borderId="30" xfId="0" applyNumberFormat="1" applyFont="1" applyFill="1" applyBorder="1" applyAlignment="1" applyProtection="1">
      <alignment horizontal="center" vertical="center"/>
      <protection hidden="1"/>
    </xf>
    <xf numFmtId="0" fontId="2" fillId="2" borderId="32" xfId="0" applyFont="1" applyFill="1" applyBorder="1" applyAlignment="1" applyProtection="1">
      <alignment horizontal="center" vertical="center"/>
      <protection hidden="1"/>
    </xf>
    <xf numFmtId="0" fontId="2" fillId="2" borderId="57" xfId="0" applyFont="1" applyFill="1" applyBorder="1" applyAlignment="1" applyProtection="1">
      <alignment vertical="center"/>
      <protection locked="0"/>
    </xf>
    <xf numFmtId="0" fontId="2" fillId="2" borderId="54" xfId="0" applyFont="1" applyFill="1" applyBorder="1" applyAlignment="1" applyProtection="1">
      <alignment vertical="center"/>
      <protection locked="0"/>
    </xf>
    <xf numFmtId="0" fontId="2" fillId="2" borderId="57" xfId="0" applyFont="1" applyFill="1" applyBorder="1" applyAlignment="1" applyProtection="1">
      <alignment horizontal="center" vertical="center"/>
      <protection locked="0"/>
    </xf>
    <xf numFmtId="0" fontId="2" fillId="2" borderId="54" xfId="0" applyFont="1" applyFill="1" applyBorder="1" applyAlignment="1" applyProtection="1">
      <alignment horizontal="center" vertical="center"/>
      <protection locked="0"/>
    </xf>
    <xf numFmtId="0" fontId="9" fillId="9" borderId="45" xfId="0" applyFont="1" applyFill="1" applyBorder="1" applyAlignment="1" applyProtection="1">
      <alignment horizontal="center" vertical="center"/>
      <protection hidden="1"/>
    </xf>
    <xf numFmtId="0" fontId="2" fillId="26" borderId="28" xfId="0" applyFont="1" applyFill="1" applyBorder="1" applyAlignment="1" applyProtection="1">
      <alignment horizontal="center" vertical="center"/>
      <protection hidden="1"/>
    </xf>
    <xf numFmtId="0" fontId="2" fillId="27" borderId="28" xfId="0" applyFont="1" applyFill="1" applyBorder="1" applyAlignment="1" applyProtection="1">
      <alignment horizontal="center" vertical="center"/>
      <protection hidden="1"/>
    </xf>
    <xf numFmtId="0" fontId="2" fillId="27" borderId="47" xfId="0" applyFont="1" applyFill="1" applyBorder="1" applyAlignment="1" applyProtection="1">
      <alignment horizontal="center" vertical="center"/>
      <protection locked="0"/>
    </xf>
    <xf numFmtId="14" fontId="9" fillId="9" borderId="28" xfId="0" applyNumberFormat="1" applyFont="1" applyFill="1" applyBorder="1" applyAlignment="1" applyProtection="1">
      <alignment horizontal="center" vertical="center"/>
      <protection hidden="1"/>
    </xf>
    <xf numFmtId="0" fontId="9" fillId="9" borderId="44" xfId="0" applyFont="1" applyFill="1" applyBorder="1" applyAlignment="1" applyProtection="1">
      <alignment horizontal="center" vertical="center"/>
      <protection hidden="1"/>
    </xf>
    <xf numFmtId="0" fontId="9" fillId="9" borderId="33" xfId="0" applyFont="1" applyFill="1" applyBorder="1" applyAlignment="1" applyProtection="1">
      <alignment horizontal="center" vertical="center"/>
      <protection hidden="1"/>
    </xf>
    <xf numFmtId="14" fontId="2" fillId="9" borderId="33" xfId="0" applyNumberFormat="1" applyFont="1" applyFill="1" applyBorder="1" applyAlignment="1" applyProtection="1">
      <alignment horizontal="center" vertical="center"/>
      <protection locked="0"/>
    </xf>
    <xf numFmtId="0" fontId="9" fillId="9" borderId="52" xfId="0" applyFont="1" applyFill="1" applyBorder="1" applyAlignment="1" applyProtection="1">
      <alignment horizontal="center" vertical="center"/>
      <protection hidden="1"/>
    </xf>
    <xf numFmtId="0" fontId="9" fillId="9" borderId="8" xfId="0" applyFont="1" applyFill="1" applyBorder="1" applyAlignment="1" applyProtection="1">
      <alignment horizontal="center" vertical="center"/>
      <protection hidden="1"/>
    </xf>
    <xf numFmtId="0" fontId="9" fillId="9" borderId="10" xfId="0" applyFont="1" applyFill="1" applyBorder="1" applyAlignment="1" applyProtection="1">
      <alignment horizontal="center" vertical="center"/>
      <protection hidden="1"/>
    </xf>
    <xf numFmtId="0" fontId="9" fillId="2" borderId="45" xfId="0" applyFont="1" applyFill="1" applyBorder="1" applyAlignment="1" applyProtection="1">
      <alignment horizontal="center" vertical="center"/>
      <protection hidden="1"/>
    </xf>
    <xf numFmtId="0" fontId="2" fillId="28" borderId="28" xfId="0" applyFont="1" applyFill="1" applyBorder="1" applyAlignment="1" applyProtection="1">
      <alignment horizontal="center" vertical="center"/>
      <protection hidden="1"/>
    </xf>
    <xf numFmtId="0" fontId="2" fillId="27" borderId="37" xfId="0" applyFont="1" applyFill="1" applyBorder="1" applyAlignment="1" applyProtection="1">
      <alignment horizontal="center" vertical="center"/>
      <protection locked="0"/>
    </xf>
    <xf numFmtId="0" fontId="2" fillId="15" borderId="37" xfId="0" applyFont="1" applyFill="1" applyBorder="1" applyAlignment="1" applyProtection="1">
      <alignment horizontal="center" vertical="center"/>
      <protection locked="0"/>
    </xf>
    <xf numFmtId="9" fontId="2" fillId="15" borderId="30" xfId="1" applyFont="1" applyFill="1" applyBorder="1" applyAlignment="1" applyProtection="1">
      <alignment horizontal="center" vertical="center"/>
      <protection locked="0"/>
    </xf>
    <xf numFmtId="0" fontId="2" fillId="15" borderId="30" xfId="0" applyFont="1" applyFill="1" applyBorder="1" applyAlignment="1" applyProtection="1">
      <alignment horizontal="center" vertical="center"/>
      <protection locked="0"/>
    </xf>
    <xf numFmtId="0" fontId="2" fillId="15" borderId="41" xfId="0" applyFont="1" applyFill="1" applyBorder="1" applyAlignment="1" applyProtection="1">
      <alignment horizontal="center" vertical="center"/>
      <protection locked="0"/>
    </xf>
    <xf numFmtId="0" fontId="2" fillId="15" borderId="46" xfId="0" applyFont="1" applyFill="1" applyBorder="1" applyAlignment="1" applyProtection="1">
      <alignment horizontal="center" vertical="center"/>
      <protection locked="0"/>
    </xf>
    <xf numFmtId="0" fontId="2" fillId="15" borderId="28" xfId="0" applyFont="1" applyFill="1" applyBorder="1" applyAlignment="1" applyProtection="1">
      <alignment horizontal="center" vertical="center"/>
      <protection hidden="1"/>
    </xf>
    <xf numFmtId="0" fontId="2" fillId="15" borderId="29" xfId="0" applyFont="1" applyFill="1" applyBorder="1" applyAlignment="1" applyProtection="1">
      <alignment horizontal="center" vertical="center"/>
      <protection hidden="1"/>
    </xf>
    <xf numFmtId="0" fontId="1" fillId="26" borderId="5" xfId="0" applyFont="1" applyFill="1" applyBorder="1" applyAlignment="1" applyProtection="1">
      <alignment horizontal="center" textRotation="90"/>
      <protection hidden="1"/>
    </xf>
    <xf numFmtId="1" fontId="2" fillId="15" borderId="30" xfId="0" applyNumberFormat="1" applyFont="1" applyFill="1" applyBorder="1" applyAlignment="1" applyProtection="1">
      <alignment horizontal="center" vertical="center"/>
      <protection hidden="1"/>
    </xf>
    <xf numFmtId="0" fontId="2" fillId="15" borderId="35" xfId="0" applyFont="1" applyFill="1" applyBorder="1" applyAlignment="1" applyProtection="1">
      <alignment horizontal="center" vertical="center"/>
      <protection hidden="1"/>
    </xf>
    <xf numFmtId="0" fontId="2" fillId="15" borderId="27" xfId="0" applyFont="1" applyFill="1" applyBorder="1" applyAlignment="1" applyProtection="1">
      <alignment horizontal="center" vertical="center"/>
      <protection hidden="1"/>
    </xf>
    <xf numFmtId="0" fontId="2" fillId="15" borderId="30" xfId="0" applyFont="1" applyFill="1" applyBorder="1" applyAlignment="1" applyProtection="1">
      <alignment horizontal="center" vertical="center"/>
      <protection hidden="1"/>
    </xf>
    <xf numFmtId="0" fontId="2" fillId="15" borderId="31" xfId="0" applyFont="1" applyFill="1" applyBorder="1" applyAlignment="1" applyProtection="1">
      <alignment horizontal="center" vertical="center"/>
      <protection hidden="1"/>
    </xf>
    <xf numFmtId="0" fontId="2" fillId="5" borderId="46" xfId="0" applyFont="1" applyFill="1" applyBorder="1" applyAlignment="1" applyProtection="1">
      <alignment horizontal="center" vertical="center"/>
      <protection hidden="1"/>
    </xf>
    <xf numFmtId="0" fontId="2" fillId="5" borderId="47" xfId="0" applyFont="1" applyFill="1" applyBorder="1" applyAlignment="1" applyProtection="1">
      <alignment horizontal="center" vertical="center"/>
      <protection hidden="1"/>
    </xf>
    <xf numFmtId="0" fontId="2" fillId="29" borderId="26" xfId="0" applyFont="1" applyFill="1" applyBorder="1" applyAlignment="1" applyProtection="1">
      <alignment horizontal="center" vertical="center"/>
      <protection locked="0"/>
    </xf>
    <xf numFmtId="0" fontId="2" fillId="29" borderId="0" xfId="0" applyFont="1" applyFill="1" applyAlignment="1" applyProtection="1">
      <alignment horizontal="center" vertical="center"/>
      <protection locked="0"/>
    </xf>
    <xf numFmtId="166" fontId="2" fillId="27" borderId="46" xfId="0" applyNumberFormat="1" applyFont="1" applyFill="1" applyBorder="1" applyAlignment="1" applyProtection="1">
      <alignment horizontal="center" vertical="center"/>
      <protection locked="0"/>
    </xf>
    <xf numFmtId="166" fontId="2" fillId="15" borderId="44" xfId="0" applyNumberFormat="1" applyFont="1" applyFill="1" applyBorder="1" applyAlignment="1" applyProtection="1">
      <alignment horizontal="center" vertical="center"/>
      <protection locked="0"/>
    </xf>
    <xf numFmtId="0" fontId="2" fillId="23" borderId="34" xfId="0" applyFont="1" applyFill="1" applyBorder="1" applyAlignment="1" applyProtection="1">
      <alignment horizontal="center" vertical="center"/>
      <protection locked="0"/>
    </xf>
    <xf numFmtId="0" fontId="2" fillId="23" borderId="49" xfId="0" applyFont="1" applyFill="1" applyBorder="1" applyAlignment="1" applyProtection="1">
      <alignment horizontal="center" vertical="center"/>
      <protection locked="0"/>
    </xf>
    <xf numFmtId="0" fontId="2" fillId="15" borderId="49" xfId="0" applyFont="1" applyFill="1" applyBorder="1" applyAlignment="1" applyProtection="1">
      <alignment horizontal="center" vertical="center"/>
      <protection locked="0"/>
    </xf>
    <xf numFmtId="0" fontId="2" fillId="17" borderId="28" xfId="0" applyFont="1" applyFill="1" applyBorder="1" applyAlignment="1" applyProtection="1">
      <alignment horizontal="center" vertical="center"/>
      <protection hidden="1"/>
    </xf>
    <xf numFmtId="0" fontId="2" fillId="17" borderId="49" xfId="0" applyFont="1" applyFill="1" applyBorder="1" applyAlignment="1" applyProtection="1">
      <alignment horizontal="center" vertical="center"/>
      <protection locked="0"/>
    </xf>
    <xf numFmtId="0" fontId="2" fillId="15" borderId="0" xfId="0" applyFont="1" applyFill="1" applyAlignment="1" applyProtection="1">
      <alignment horizontal="center" vertical="center"/>
      <protection locked="0"/>
    </xf>
    <xf numFmtId="0" fontId="2" fillId="15" borderId="28" xfId="0" applyFont="1" applyFill="1" applyBorder="1" applyAlignment="1" applyProtection="1">
      <alignment horizontal="center" vertical="center"/>
      <protection locked="0"/>
    </xf>
    <xf numFmtId="0" fontId="2" fillId="27" borderId="35" xfId="0" applyFont="1" applyFill="1" applyBorder="1" applyAlignment="1" applyProtection="1">
      <alignment vertical="center"/>
      <protection locked="0"/>
    </xf>
    <xf numFmtId="0" fontId="2" fillId="27" borderId="29" xfId="0" applyFont="1" applyFill="1" applyBorder="1" applyAlignment="1" applyProtection="1">
      <alignment vertical="center"/>
      <protection locked="0"/>
    </xf>
    <xf numFmtId="0" fontId="2" fillId="27" borderId="28" xfId="0" applyFont="1" applyFill="1" applyBorder="1" applyAlignment="1" applyProtection="1">
      <alignment vertical="center"/>
      <protection hidden="1"/>
    </xf>
    <xf numFmtId="0" fontId="2" fillId="9" borderId="14" xfId="0" applyFont="1" applyFill="1" applyBorder="1" applyAlignment="1" applyProtection="1">
      <alignment horizontal="center" vertical="center"/>
      <protection locked="0"/>
    </xf>
    <xf numFmtId="0" fontId="2" fillId="2" borderId="3" xfId="0" applyFont="1" applyFill="1" applyBorder="1" applyAlignment="1" applyProtection="1">
      <alignment horizontal="center" wrapText="1"/>
      <protection hidden="1"/>
    </xf>
    <xf numFmtId="0" fontId="2" fillId="2" borderId="9" xfId="0" applyFont="1" applyFill="1" applyBorder="1" applyAlignment="1" applyProtection="1">
      <alignment horizontal="center" wrapText="1"/>
      <protection hidden="1"/>
    </xf>
    <xf numFmtId="14" fontId="2" fillId="9" borderId="69" xfId="0" applyNumberFormat="1" applyFont="1" applyFill="1" applyBorder="1" applyAlignment="1" applyProtection="1">
      <alignment horizontal="center" vertical="center"/>
      <protection locked="0"/>
    </xf>
    <xf numFmtId="14" fontId="2" fillId="0" borderId="38" xfId="0" applyNumberFormat="1" applyFont="1" applyBorder="1" applyAlignment="1">
      <alignment horizontal="center"/>
    </xf>
    <xf numFmtId="0" fontId="2" fillId="9" borderId="9" xfId="0" applyFont="1" applyFill="1" applyBorder="1" applyAlignment="1" applyProtection="1">
      <alignment horizontal="center" vertical="center"/>
      <protection locked="0"/>
    </xf>
    <xf numFmtId="0" fontId="9" fillId="9" borderId="68" xfId="0" applyFont="1" applyFill="1" applyBorder="1" applyAlignment="1" applyProtection="1">
      <alignment horizontal="center" vertical="center"/>
      <protection locked="0"/>
    </xf>
    <xf numFmtId="0" fontId="9" fillId="9" borderId="45" xfId="0" applyFont="1" applyFill="1" applyBorder="1" applyAlignment="1" applyProtection="1">
      <alignment horizontal="center" vertical="center"/>
      <protection locked="0"/>
    </xf>
    <xf numFmtId="0" fontId="9" fillId="9" borderId="61" xfId="0" applyFont="1" applyFill="1" applyBorder="1" applyAlignment="1" applyProtection="1">
      <alignment horizontal="center" vertical="center"/>
      <protection locked="0"/>
    </xf>
    <xf numFmtId="1" fontId="2" fillId="0" borderId="52" xfId="0" applyNumberFormat="1" applyFont="1" applyBorder="1" applyAlignment="1" applyProtection="1">
      <alignment horizontal="center" vertical="center"/>
      <protection hidden="1"/>
    </xf>
    <xf numFmtId="14" fontId="2" fillId="2" borderId="50" xfId="0" applyNumberFormat="1" applyFont="1" applyFill="1" applyBorder="1" applyAlignment="1" applyProtection="1">
      <alignment horizontal="center" vertical="center"/>
      <protection hidden="1"/>
    </xf>
    <xf numFmtId="165" fontId="2" fillId="9" borderId="50" xfId="0" applyNumberFormat="1" applyFont="1" applyFill="1" applyBorder="1" applyAlignment="1" applyProtection="1">
      <alignment horizontal="center" vertical="center"/>
      <protection hidden="1"/>
    </xf>
    <xf numFmtId="0" fontId="2" fillId="3" borderId="70" xfId="0" applyFont="1" applyFill="1" applyBorder="1" applyAlignment="1" applyProtection="1">
      <alignment horizontal="center" vertical="center"/>
      <protection hidden="1"/>
    </xf>
    <xf numFmtId="0" fontId="2" fillId="3" borderId="71" xfId="0" applyFont="1" applyFill="1" applyBorder="1" applyAlignment="1" applyProtection="1">
      <alignment horizontal="center" vertical="center"/>
      <protection hidden="1"/>
    </xf>
    <xf numFmtId="0" fontId="2" fillId="27" borderId="71" xfId="0" applyFont="1" applyFill="1" applyBorder="1" applyAlignment="1" applyProtection="1">
      <alignment horizontal="center" vertical="center"/>
      <protection hidden="1"/>
    </xf>
    <xf numFmtId="1" fontId="2" fillId="26" borderId="71" xfId="0" applyNumberFormat="1" applyFont="1" applyFill="1" applyBorder="1" applyAlignment="1" applyProtection="1">
      <alignment horizontal="center" vertical="center"/>
      <protection hidden="1"/>
    </xf>
    <xf numFmtId="0" fontId="2" fillId="27" borderId="72" xfId="0" applyFont="1" applyFill="1" applyBorder="1" applyAlignment="1" applyProtection="1">
      <alignment horizontal="center" vertical="center"/>
      <protection locked="0"/>
    </xf>
    <xf numFmtId="0" fontId="2" fillId="30" borderId="26" xfId="0" applyFont="1" applyFill="1" applyBorder="1" applyAlignment="1" applyProtection="1">
      <alignment horizontal="center" vertical="center"/>
      <protection locked="0"/>
    </xf>
    <xf numFmtId="1" fontId="2" fillId="5" borderId="28" xfId="0" applyNumberFormat="1" applyFont="1" applyFill="1" applyBorder="1" applyAlignment="1" applyProtection="1">
      <alignment horizontal="center" vertical="center"/>
      <protection hidden="1"/>
    </xf>
    <xf numFmtId="1" fontId="9" fillId="5" borderId="28" xfId="0" applyNumberFormat="1" applyFont="1" applyFill="1" applyBorder="1" applyAlignment="1" applyProtection="1">
      <alignment horizontal="center" vertical="center"/>
      <protection hidden="1"/>
    </xf>
    <xf numFmtId="0" fontId="2" fillId="31" borderId="30" xfId="0" applyFont="1" applyFill="1" applyBorder="1" applyAlignment="1" applyProtection="1">
      <alignment horizontal="center" vertical="center"/>
      <protection hidden="1"/>
    </xf>
    <xf numFmtId="1" fontId="2" fillId="31" borderId="30" xfId="0" applyNumberFormat="1" applyFont="1" applyFill="1" applyBorder="1" applyAlignment="1" applyProtection="1">
      <alignment horizontal="center" vertical="center"/>
      <protection hidden="1"/>
    </xf>
    <xf numFmtId="0" fontId="2" fillId="27" borderId="28" xfId="0" applyFont="1" applyFill="1" applyBorder="1" applyAlignment="1" applyProtection="1">
      <alignment horizontal="center" vertical="center"/>
      <protection locked="0"/>
    </xf>
    <xf numFmtId="0" fontId="22" fillId="15" borderId="28" xfId="0" applyFont="1" applyFill="1" applyBorder="1" applyAlignment="1" applyProtection="1">
      <alignment horizontal="center" vertical="center"/>
      <protection locked="0"/>
    </xf>
    <xf numFmtId="0" fontId="2" fillId="32" borderId="46" xfId="0" applyFont="1" applyFill="1" applyBorder="1" applyAlignment="1" applyProtection="1">
      <alignment horizontal="center" vertical="center"/>
      <protection hidden="1"/>
    </xf>
    <xf numFmtId="0" fontId="2" fillId="32" borderId="28" xfId="0" applyFont="1" applyFill="1" applyBorder="1" applyAlignment="1" applyProtection="1">
      <alignment horizontal="center" vertical="center"/>
      <protection hidden="1"/>
    </xf>
    <xf numFmtId="0" fontId="2" fillId="27" borderId="47" xfId="0" applyFont="1" applyFill="1" applyBorder="1" applyAlignment="1" applyProtection="1">
      <alignment horizontal="center" vertical="center"/>
      <protection hidden="1"/>
    </xf>
    <xf numFmtId="1" fontId="2" fillId="5" borderId="29" xfId="0" applyNumberFormat="1" applyFont="1" applyFill="1" applyBorder="1" applyAlignment="1" applyProtection="1">
      <alignment horizontal="center" vertical="center"/>
      <protection hidden="1"/>
    </xf>
    <xf numFmtId="0" fontId="2" fillId="0" borderId="0" xfId="0" applyFont="1" applyAlignment="1">
      <alignment horizontal="center"/>
    </xf>
    <xf numFmtId="0" fontId="2" fillId="27" borderId="29" xfId="0" applyFont="1" applyFill="1" applyBorder="1" applyAlignment="1" applyProtection="1">
      <alignment horizontal="center" vertical="center"/>
      <protection locked="0"/>
    </xf>
    <xf numFmtId="0" fontId="2" fillId="27" borderId="46" xfId="0" applyFont="1" applyFill="1" applyBorder="1" applyAlignment="1" applyProtection="1">
      <alignment horizontal="center" vertical="center"/>
      <protection hidden="1"/>
    </xf>
    <xf numFmtId="1" fontId="2" fillId="27" borderId="28" xfId="0" applyNumberFormat="1" applyFont="1" applyFill="1" applyBorder="1" applyAlignment="1" applyProtection="1">
      <alignment horizontal="center" vertical="center"/>
      <protection hidden="1"/>
    </xf>
    <xf numFmtId="0" fontId="2" fillId="27" borderId="54" xfId="0" applyFont="1" applyFill="1" applyBorder="1" applyAlignment="1" applyProtection="1">
      <alignment horizontal="center" vertical="center"/>
      <protection locked="0"/>
    </xf>
    <xf numFmtId="0" fontId="2" fillId="2" borderId="38" xfId="0" applyFont="1" applyFill="1" applyBorder="1" applyAlignment="1" applyProtection="1">
      <alignment horizontal="center" wrapText="1"/>
      <protection hidden="1"/>
    </xf>
    <xf numFmtId="0" fontId="2" fillId="33" borderId="28" xfId="0" applyFont="1" applyFill="1" applyBorder="1" applyAlignment="1" applyProtection="1">
      <alignment horizontal="center" vertical="center"/>
      <protection locked="0"/>
    </xf>
    <xf numFmtId="0" fontId="2" fillId="33" borderId="30" xfId="0" applyFont="1" applyFill="1" applyBorder="1" applyAlignment="1" applyProtection="1">
      <alignment horizontal="center" vertical="center"/>
      <protection locked="0"/>
    </xf>
    <xf numFmtId="0" fontId="2" fillId="33" borderId="29" xfId="0" applyFont="1" applyFill="1" applyBorder="1" applyAlignment="1" applyProtection="1">
      <alignment horizontal="center" vertical="center"/>
      <protection locked="0"/>
    </xf>
    <xf numFmtId="0" fontId="2" fillId="33" borderId="27" xfId="0" applyFont="1" applyFill="1" applyBorder="1" applyAlignment="1" applyProtection="1">
      <alignment horizontal="center" vertical="center"/>
      <protection locked="0"/>
    </xf>
    <xf numFmtId="0" fontId="2" fillId="33" borderId="43" xfId="0" applyFont="1" applyFill="1" applyBorder="1" applyAlignment="1" applyProtection="1">
      <alignment horizontal="center" vertical="center"/>
      <protection locked="0"/>
    </xf>
    <xf numFmtId="0" fontId="2" fillId="33" borderId="35" xfId="0" applyFont="1" applyFill="1" applyBorder="1" applyAlignment="1" applyProtection="1">
      <alignment horizontal="center" vertical="center"/>
      <protection locked="0"/>
    </xf>
    <xf numFmtId="0" fontId="2" fillId="33" borderId="50" xfId="0" applyFont="1" applyFill="1" applyBorder="1" applyAlignment="1" applyProtection="1">
      <alignment horizontal="center" vertical="center"/>
      <protection locked="0"/>
    </xf>
    <xf numFmtId="0" fontId="2" fillId="33" borderId="49" xfId="0" applyFont="1" applyFill="1" applyBorder="1" applyAlignment="1" applyProtection="1">
      <alignment horizontal="center" vertical="center"/>
      <protection locked="0"/>
    </xf>
    <xf numFmtId="0" fontId="2" fillId="33" borderId="48" xfId="0" applyFont="1" applyFill="1" applyBorder="1" applyAlignment="1" applyProtection="1">
      <alignment horizontal="center" vertical="center"/>
      <protection locked="0"/>
    </xf>
    <xf numFmtId="0" fontId="2" fillId="33" borderId="46" xfId="0" applyFont="1" applyFill="1" applyBorder="1" applyAlignment="1" applyProtection="1">
      <alignment horizontal="center" vertical="center"/>
      <protection locked="0"/>
    </xf>
    <xf numFmtId="0" fontId="2" fillId="27" borderId="50" xfId="0" applyFont="1" applyFill="1" applyBorder="1" applyAlignment="1" applyProtection="1">
      <alignment horizontal="center" vertical="center"/>
      <protection locked="0"/>
    </xf>
    <xf numFmtId="0" fontId="2" fillId="27" borderId="46" xfId="0" applyFont="1" applyFill="1" applyBorder="1" applyAlignment="1" applyProtection="1">
      <alignment horizontal="center" vertical="center"/>
      <protection locked="0"/>
    </xf>
    <xf numFmtId="0" fontId="22" fillId="33" borderId="28" xfId="0" applyFont="1" applyFill="1" applyBorder="1" applyAlignment="1" applyProtection="1">
      <alignment horizontal="center" vertical="center"/>
      <protection locked="0"/>
    </xf>
    <xf numFmtId="0" fontId="26" fillId="27" borderId="28" xfId="0" applyFont="1" applyFill="1" applyBorder="1" applyAlignment="1" applyProtection="1">
      <alignment horizontal="center" vertical="center"/>
      <protection locked="0"/>
    </xf>
    <xf numFmtId="0" fontId="2" fillId="26" borderId="28" xfId="0" applyFont="1" applyFill="1" applyBorder="1" applyAlignment="1" applyProtection="1">
      <alignment horizontal="center" vertical="center"/>
      <protection locked="0"/>
    </xf>
    <xf numFmtId="0" fontId="24" fillId="33" borderId="29" xfId="0" applyFont="1" applyFill="1" applyBorder="1" applyAlignment="1" applyProtection="1">
      <alignment horizontal="center" vertical="center"/>
      <protection locked="0"/>
    </xf>
    <xf numFmtId="0" fontId="24" fillId="33" borderId="43" xfId="0" applyFont="1" applyFill="1" applyBorder="1" applyAlignment="1" applyProtection="1">
      <alignment horizontal="center" vertical="center"/>
      <protection locked="0"/>
    </xf>
    <xf numFmtId="0" fontId="24" fillId="33" borderId="35" xfId="0" applyFont="1" applyFill="1" applyBorder="1" applyAlignment="1" applyProtection="1">
      <alignment horizontal="center" vertical="center"/>
      <protection locked="0"/>
    </xf>
    <xf numFmtId="0" fontId="26" fillId="27" borderId="29" xfId="0" applyFont="1" applyFill="1" applyBorder="1" applyAlignment="1" applyProtection="1">
      <alignment horizontal="center" vertical="center"/>
      <protection locked="0"/>
    </xf>
    <xf numFmtId="0" fontId="2" fillId="27" borderId="30" xfId="0" applyFont="1" applyFill="1" applyBorder="1" applyAlignment="1" applyProtection="1">
      <alignment horizontal="center" vertical="center"/>
      <protection locked="0"/>
    </xf>
    <xf numFmtId="0" fontId="22" fillId="27" borderId="27" xfId="0" applyFont="1" applyFill="1" applyBorder="1" applyAlignment="1" applyProtection="1">
      <alignment horizontal="center" vertical="center"/>
      <protection locked="0"/>
    </xf>
    <xf numFmtId="0" fontId="25" fillId="33" borderId="46" xfId="0" applyFont="1" applyFill="1" applyBorder="1" applyAlignment="1" applyProtection="1">
      <alignment horizontal="center" vertical="center"/>
      <protection locked="0"/>
    </xf>
    <xf numFmtId="0" fontId="26" fillId="27" borderId="50" xfId="0" applyFont="1" applyFill="1" applyBorder="1" applyAlignment="1" applyProtection="1">
      <alignment horizontal="center" vertical="center"/>
      <protection locked="0"/>
    </xf>
    <xf numFmtId="0" fontId="22" fillId="33" borderId="50" xfId="0" applyFont="1" applyFill="1" applyBorder="1" applyAlignment="1" applyProtection="1">
      <alignment horizontal="center" vertical="center"/>
      <protection locked="0"/>
    </xf>
    <xf numFmtId="1" fontId="2" fillId="26" borderId="28" xfId="0" applyNumberFormat="1" applyFont="1" applyFill="1" applyBorder="1" applyAlignment="1" applyProtection="1">
      <alignment horizontal="center" vertical="center"/>
      <protection hidden="1"/>
    </xf>
    <xf numFmtId="0" fontId="2" fillId="26" borderId="29" xfId="0" applyFont="1" applyFill="1" applyBorder="1" applyAlignment="1" applyProtection="1">
      <alignment horizontal="center" vertical="center"/>
      <protection hidden="1"/>
    </xf>
    <xf numFmtId="0" fontId="2" fillId="26" borderId="30" xfId="0" applyFont="1" applyFill="1" applyBorder="1" applyAlignment="1" applyProtection="1">
      <alignment horizontal="center" vertical="center"/>
      <protection hidden="1"/>
    </xf>
    <xf numFmtId="0" fontId="2" fillId="26" borderId="27" xfId="0" applyFont="1" applyFill="1" applyBorder="1" applyAlignment="1" applyProtection="1">
      <alignment horizontal="center" vertical="center"/>
      <protection hidden="1"/>
    </xf>
    <xf numFmtId="1" fontId="2" fillId="26" borderId="30" xfId="0" applyNumberFormat="1" applyFont="1" applyFill="1" applyBorder="1" applyAlignment="1" applyProtection="1">
      <alignment horizontal="center" vertical="center"/>
      <protection hidden="1"/>
    </xf>
    <xf numFmtId="0" fontId="2" fillId="26" borderId="32" xfId="0" applyFont="1" applyFill="1" applyBorder="1" applyAlignment="1" applyProtection="1">
      <alignment horizontal="center" vertical="center"/>
      <protection hidden="1"/>
    </xf>
    <xf numFmtId="0" fontId="2" fillId="26" borderId="31" xfId="0" applyFont="1" applyFill="1" applyBorder="1" applyAlignment="1" applyProtection="1">
      <alignment horizontal="center" vertical="center"/>
      <protection hidden="1"/>
    </xf>
    <xf numFmtId="0" fontId="26" fillId="27" borderId="57" xfId="0" applyFont="1" applyFill="1" applyBorder="1" applyAlignment="1" applyProtection="1">
      <alignment horizontal="center" vertical="center"/>
      <protection locked="0"/>
    </xf>
    <xf numFmtId="0" fontId="26" fillId="27" borderId="54" xfId="0" applyFont="1" applyFill="1" applyBorder="1" applyAlignment="1" applyProtection="1">
      <alignment horizontal="center" vertical="center"/>
      <protection locked="0"/>
    </xf>
    <xf numFmtId="0" fontId="2" fillId="26" borderId="54" xfId="0" applyFont="1" applyFill="1" applyBorder="1" applyAlignment="1" applyProtection="1">
      <alignment horizontal="center" vertical="center"/>
      <protection locked="0"/>
    </xf>
    <xf numFmtId="0" fontId="2" fillId="27" borderId="57" xfId="0" applyFont="1" applyFill="1" applyBorder="1" applyAlignment="1" applyProtection="1">
      <alignment horizontal="center" vertical="center"/>
      <protection locked="0"/>
    </xf>
    <xf numFmtId="0" fontId="2" fillId="26" borderId="53" xfId="0" applyFont="1" applyFill="1" applyBorder="1" applyAlignment="1" applyProtection="1">
      <alignment horizontal="center" vertical="center"/>
      <protection locked="0"/>
    </xf>
    <xf numFmtId="0" fontId="22" fillId="26" borderId="28" xfId="0" applyFont="1" applyFill="1" applyBorder="1" applyAlignment="1" applyProtection="1">
      <alignment horizontal="center" vertical="center"/>
      <protection locked="0"/>
    </xf>
    <xf numFmtId="0" fontId="2" fillId="26" borderId="29" xfId="0" applyFont="1" applyFill="1" applyBorder="1" applyAlignment="1" applyProtection="1">
      <alignment horizontal="center" vertical="center"/>
      <protection locked="0"/>
    </xf>
    <xf numFmtId="0" fontId="2" fillId="26" borderId="43" xfId="0" applyFont="1" applyFill="1" applyBorder="1" applyAlignment="1" applyProtection="1">
      <alignment horizontal="center" vertical="center"/>
      <protection locked="0"/>
    </xf>
    <xf numFmtId="0" fontId="2" fillId="26" borderId="35" xfId="0" applyFont="1" applyFill="1" applyBorder="1" applyAlignment="1" applyProtection="1">
      <alignment horizontal="center" vertical="center"/>
      <protection locked="0"/>
    </xf>
    <xf numFmtId="0" fontId="2" fillId="26" borderId="30" xfId="0" applyFont="1" applyFill="1" applyBorder="1" applyAlignment="1" applyProtection="1">
      <alignment horizontal="center" vertical="center"/>
      <protection locked="0"/>
    </xf>
    <xf numFmtId="0" fontId="2" fillId="26" borderId="27" xfId="0" applyFont="1" applyFill="1" applyBorder="1" applyAlignment="1" applyProtection="1">
      <alignment horizontal="center" vertical="center"/>
      <protection locked="0"/>
    </xf>
    <xf numFmtId="0" fontId="2" fillId="26" borderId="48" xfId="0" applyFont="1" applyFill="1" applyBorder="1" applyAlignment="1" applyProtection="1">
      <alignment horizontal="center" vertical="center"/>
      <protection locked="0"/>
    </xf>
    <xf numFmtId="0" fontId="2" fillId="26" borderId="46" xfId="0" applyFont="1" applyFill="1" applyBorder="1" applyAlignment="1" applyProtection="1">
      <alignment horizontal="center" vertical="center"/>
      <protection locked="0"/>
    </xf>
    <xf numFmtId="0" fontId="2" fillId="26" borderId="50" xfId="0" applyFont="1" applyFill="1" applyBorder="1" applyAlignment="1" applyProtection="1">
      <alignment horizontal="center" vertical="center"/>
      <protection locked="0"/>
    </xf>
    <xf numFmtId="0" fontId="2" fillId="26" borderId="49" xfId="0" applyFont="1" applyFill="1" applyBorder="1" applyAlignment="1" applyProtection="1">
      <alignment horizontal="center" vertical="center"/>
      <protection locked="0"/>
    </xf>
    <xf numFmtId="0" fontId="2" fillId="26" borderId="62" xfId="0" applyFont="1" applyFill="1" applyBorder="1" applyAlignment="1" applyProtection="1">
      <alignment horizontal="center" vertical="center"/>
      <protection locked="0"/>
    </xf>
    <xf numFmtId="0" fontId="2" fillId="26" borderId="58" xfId="0" applyFont="1" applyFill="1" applyBorder="1" applyAlignment="1" applyProtection="1">
      <alignment horizontal="center" vertical="center"/>
      <protection locked="0"/>
    </xf>
    <xf numFmtId="1" fontId="2" fillId="26" borderId="45" xfId="0" applyNumberFormat="1" applyFont="1" applyFill="1" applyBorder="1" applyAlignment="1" applyProtection="1">
      <alignment horizontal="center" vertical="center"/>
      <protection hidden="1"/>
    </xf>
    <xf numFmtId="0" fontId="22" fillId="26" borderId="27" xfId="0" applyFont="1" applyFill="1" applyBorder="1" applyAlignment="1" applyProtection="1">
      <alignment horizontal="center" vertical="center"/>
      <protection locked="0"/>
    </xf>
    <xf numFmtId="0" fontId="22" fillId="26" borderId="50" xfId="0" applyFont="1" applyFill="1" applyBorder="1" applyAlignment="1" applyProtection="1">
      <alignment horizontal="center" vertical="center"/>
      <protection locked="0"/>
    </xf>
    <xf numFmtId="1" fontId="2" fillId="26" borderId="61" xfId="0" applyNumberFormat="1" applyFont="1" applyFill="1" applyBorder="1" applyAlignment="1" applyProtection="1">
      <alignment horizontal="center" vertical="center"/>
      <protection hidden="1"/>
    </xf>
    <xf numFmtId="0" fontId="2" fillId="26" borderId="63" xfId="0" applyFont="1" applyFill="1" applyBorder="1" applyAlignment="1" applyProtection="1">
      <alignment horizontal="center" vertical="center"/>
      <protection locked="0"/>
    </xf>
    <xf numFmtId="0" fontId="2" fillId="26" borderId="60" xfId="0" applyFont="1" applyFill="1" applyBorder="1" applyAlignment="1" applyProtection="1">
      <alignment horizontal="center" vertical="center"/>
      <protection locked="0"/>
    </xf>
    <xf numFmtId="0" fontId="2" fillId="26" borderId="64" xfId="0" applyFont="1" applyFill="1" applyBorder="1" applyAlignment="1" applyProtection="1">
      <alignment horizontal="center" vertical="center"/>
      <protection locked="0"/>
    </xf>
    <xf numFmtId="14" fontId="2" fillId="26" borderId="28" xfId="0" applyNumberFormat="1" applyFont="1" applyFill="1" applyBorder="1" applyAlignment="1" applyProtection="1">
      <alignment horizontal="center" vertical="center"/>
      <protection locked="0"/>
    </xf>
    <xf numFmtId="14" fontId="2" fillId="26" borderId="27" xfId="0" applyNumberFormat="1" applyFont="1" applyFill="1" applyBorder="1" applyAlignment="1" applyProtection="1">
      <alignment horizontal="center" vertical="center"/>
      <protection locked="0"/>
    </xf>
    <xf numFmtId="0" fontId="2" fillId="26" borderId="35" xfId="0" applyFont="1" applyFill="1" applyBorder="1" applyAlignment="1" applyProtection="1">
      <alignment horizontal="center" vertical="center"/>
      <protection hidden="1"/>
    </xf>
    <xf numFmtId="1" fontId="2" fillId="26" borderId="29" xfId="0" applyNumberFormat="1" applyFont="1" applyFill="1" applyBorder="1" applyAlignment="1" applyProtection="1">
      <alignment horizontal="center" vertical="center"/>
      <protection hidden="1"/>
    </xf>
    <xf numFmtId="14" fontId="2" fillId="26" borderId="43" xfId="0" applyNumberFormat="1" applyFont="1" applyFill="1" applyBorder="1" applyAlignment="1" applyProtection="1">
      <alignment horizontal="center" vertical="center"/>
      <protection locked="0"/>
    </xf>
    <xf numFmtId="0" fontId="2" fillId="26" borderId="33" xfId="0" applyFont="1" applyFill="1" applyBorder="1" applyAlignment="1" applyProtection="1">
      <alignment horizontal="center" vertical="center"/>
      <protection hidden="1"/>
    </xf>
    <xf numFmtId="14" fontId="2" fillId="26" borderId="42" xfId="0" applyNumberFormat="1" applyFont="1" applyFill="1" applyBorder="1" applyAlignment="1" applyProtection="1">
      <alignment horizontal="center" vertical="center"/>
      <protection locked="0"/>
    </xf>
    <xf numFmtId="0" fontId="2" fillId="26" borderId="46" xfId="0" applyFont="1" applyFill="1" applyBorder="1" applyAlignment="1" applyProtection="1">
      <alignment horizontal="center" vertical="center"/>
      <protection hidden="1"/>
    </xf>
    <xf numFmtId="0" fontId="2" fillId="26" borderId="47" xfId="0" applyFont="1" applyFill="1" applyBorder="1" applyAlignment="1" applyProtection="1">
      <alignment horizontal="center" vertical="center"/>
      <protection hidden="1"/>
    </xf>
    <xf numFmtId="0" fontId="2" fillId="26" borderId="47" xfId="0" applyFont="1" applyFill="1" applyBorder="1" applyAlignment="1" applyProtection="1">
      <alignment horizontal="center" vertical="center"/>
      <protection locked="0"/>
    </xf>
    <xf numFmtId="14" fontId="2" fillId="9" borderId="47" xfId="0" applyNumberFormat="1" applyFont="1" applyFill="1" applyBorder="1" applyAlignment="1" applyProtection="1">
      <alignment horizontal="center" vertical="center"/>
      <protection locked="0"/>
    </xf>
    <xf numFmtId="0" fontId="2" fillId="26" borderId="0" xfId="0" applyFont="1" applyFill="1" applyAlignment="1" applyProtection="1">
      <alignment horizontal="center" vertical="center"/>
      <protection hidden="1"/>
    </xf>
    <xf numFmtId="0" fontId="24" fillId="26" borderId="29" xfId="0" applyFont="1" applyFill="1" applyBorder="1" applyAlignment="1" applyProtection="1">
      <alignment horizontal="center" vertical="center"/>
      <protection locked="0"/>
    </xf>
    <xf numFmtId="0" fontId="24" fillId="26" borderId="43" xfId="0" applyFont="1" applyFill="1" applyBorder="1" applyAlignment="1" applyProtection="1">
      <alignment horizontal="center" vertical="center"/>
      <protection locked="0"/>
    </xf>
    <xf numFmtId="0" fontId="24" fillId="26" borderId="35" xfId="0" applyFont="1" applyFill="1" applyBorder="1" applyAlignment="1" applyProtection="1">
      <alignment horizontal="center" vertical="center"/>
      <protection locked="0"/>
    </xf>
    <xf numFmtId="0" fontId="25" fillId="26" borderId="46" xfId="0" applyFont="1" applyFill="1" applyBorder="1" applyAlignment="1" applyProtection="1">
      <alignment horizontal="center" vertical="center"/>
      <protection locked="0"/>
    </xf>
    <xf numFmtId="14" fontId="9" fillId="9" borderId="44" xfId="0" applyNumberFormat="1" applyFont="1" applyFill="1" applyBorder="1" applyAlignment="1" applyProtection="1">
      <alignment horizontal="center" vertical="center"/>
      <protection locked="0"/>
    </xf>
    <xf numFmtId="0" fontId="26" fillId="9" borderId="28" xfId="0" applyFont="1" applyFill="1" applyBorder="1" applyAlignment="1" applyProtection="1">
      <alignment horizontal="center" vertical="center"/>
      <protection hidden="1"/>
    </xf>
    <xf numFmtId="0" fontId="7" fillId="6" borderId="1" xfId="0" applyFont="1" applyFill="1" applyBorder="1" applyAlignment="1" applyProtection="1">
      <alignment horizontal="center" vertical="center"/>
      <protection hidden="1"/>
    </xf>
    <xf numFmtId="0" fontId="7" fillId="6" borderId="2" xfId="0" applyFont="1" applyFill="1" applyBorder="1" applyAlignment="1" applyProtection="1">
      <alignment horizontal="center" vertical="center"/>
      <protection hidden="1"/>
    </xf>
    <xf numFmtId="0" fontId="7" fillId="6" borderId="3" xfId="0" applyFont="1" applyFill="1" applyBorder="1" applyAlignment="1" applyProtection="1">
      <alignment horizontal="center" vertical="center"/>
      <protection hidden="1"/>
    </xf>
    <xf numFmtId="0" fontId="7" fillId="6" borderId="8" xfId="0" applyFont="1" applyFill="1" applyBorder="1" applyAlignment="1" applyProtection="1">
      <alignment horizontal="center" vertical="center"/>
      <protection hidden="1"/>
    </xf>
    <xf numFmtId="0" fontId="7" fillId="6" borderId="7" xfId="0" applyFont="1" applyFill="1" applyBorder="1" applyAlignment="1" applyProtection="1">
      <alignment horizontal="center" vertical="center"/>
      <protection hidden="1"/>
    </xf>
    <xf numFmtId="0" fontId="7" fillId="6" borderId="9" xfId="0" applyFont="1" applyFill="1" applyBorder="1" applyAlignment="1" applyProtection="1">
      <alignment horizontal="center" vertical="center"/>
      <protection hidden="1"/>
    </xf>
    <xf numFmtId="0" fontId="7" fillId="7" borderId="4" xfId="0" applyFont="1" applyFill="1" applyBorder="1" applyAlignment="1" applyProtection="1">
      <alignment horizontal="center" vertical="center"/>
      <protection hidden="1"/>
    </xf>
    <xf numFmtId="0" fontId="7" fillId="7" borderId="5" xfId="0" applyFont="1" applyFill="1" applyBorder="1" applyAlignment="1" applyProtection="1">
      <alignment horizontal="center" vertical="center"/>
      <protection hidden="1"/>
    </xf>
    <xf numFmtId="0" fontId="7" fillId="7" borderId="6" xfId="0" applyFont="1" applyFill="1" applyBorder="1" applyAlignment="1" applyProtection="1">
      <alignment horizontal="center" vertical="center"/>
      <protection hidden="1"/>
    </xf>
    <xf numFmtId="0" fontId="7" fillId="8" borderId="4" xfId="0" applyFont="1" applyFill="1" applyBorder="1" applyAlignment="1" applyProtection="1">
      <alignment horizontal="center" vertical="center"/>
      <protection hidden="1"/>
    </xf>
    <xf numFmtId="0" fontId="7" fillId="8" borderId="5" xfId="0" applyFont="1" applyFill="1" applyBorder="1" applyAlignment="1" applyProtection="1">
      <alignment horizontal="center" vertical="center"/>
      <protection hidden="1"/>
    </xf>
    <xf numFmtId="0" fontId="7" fillId="8" borderId="6" xfId="0" applyFont="1" applyFill="1" applyBorder="1" applyAlignment="1" applyProtection="1">
      <alignment horizontal="center" vertical="center"/>
      <protection hidden="1"/>
    </xf>
    <xf numFmtId="0" fontId="4" fillId="10" borderId="1" xfId="0" applyFont="1" applyFill="1" applyBorder="1" applyAlignment="1" applyProtection="1">
      <alignment horizontal="center" vertical="center"/>
      <protection hidden="1"/>
    </xf>
    <xf numFmtId="0" fontId="4" fillId="10" borderId="2" xfId="0" applyFont="1" applyFill="1" applyBorder="1" applyAlignment="1" applyProtection="1">
      <alignment horizontal="center" vertical="center"/>
      <protection hidden="1"/>
    </xf>
    <xf numFmtId="0" fontId="4" fillId="10" borderId="3" xfId="0" applyFont="1" applyFill="1" applyBorder="1" applyAlignment="1" applyProtection="1">
      <alignment horizontal="center" vertical="center"/>
      <protection hidden="1"/>
    </xf>
    <xf numFmtId="0" fontId="4" fillId="10" borderId="8" xfId="0" applyFont="1" applyFill="1" applyBorder="1" applyAlignment="1" applyProtection="1">
      <alignment horizontal="center" vertical="center"/>
      <protection hidden="1"/>
    </xf>
    <xf numFmtId="0" fontId="4" fillId="10" borderId="7" xfId="0" applyFont="1" applyFill="1" applyBorder="1" applyAlignment="1" applyProtection="1">
      <alignment horizontal="center" vertical="center"/>
      <protection hidden="1"/>
    </xf>
    <xf numFmtId="0" fontId="4" fillId="10" borderId="9" xfId="0" applyFont="1" applyFill="1" applyBorder="1" applyAlignment="1" applyProtection="1">
      <alignment horizontal="center" vertical="center"/>
      <protection hidden="1"/>
    </xf>
    <xf numFmtId="0" fontId="4" fillId="7" borderId="4" xfId="0" applyFont="1" applyFill="1" applyBorder="1" applyAlignment="1" applyProtection="1">
      <alignment horizontal="center" vertical="center"/>
      <protection hidden="1"/>
    </xf>
    <xf numFmtId="0" fontId="4" fillId="7" borderId="5" xfId="0" applyFont="1" applyFill="1" applyBorder="1" applyAlignment="1" applyProtection="1">
      <alignment horizontal="center" vertical="center"/>
      <protection hidden="1"/>
    </xf>
    <xf numFmtId="0" fontId="4" fillId="8" borderId="4" xfId="0" applyFont="1" applyFill="1" applyBorder="1" applyAlignment="1" applyProtection="1">
      <alignment horizontal="center" vertical="center"/>
      <protection hidden="1"/>
    </xf>
    <xf numFmtId="0" fontId="4" fillId="8" borderId="5" xfId="0" applyFont="1" applyFill="1" applyBorder="1" applyAlignment="1" applyProtection="1">
      <alignment horizontal="center" vertical="center"/>
      <protection hidden="1"/>
    </xf>
    <xf numFmtId="0" fontId="4" fillId="9" borderId="1" xfId="0" applyFont="1" applyFill="1" applyBorder="1" applyAlignment="1" applyProtection="1">
      <alignment horizontal="center" vertical="center"/>
      <protection hidden="1"/>
    </xf>
    <xf numFmtId="0" fontId="4" fillId="9" borderId="2" xfId="0" applyFont="1" applyFill="1" applyBorder="1" applyAlignment="1" applyProtection="1">
      <alignment horizontal="center" vertical="center"/>
      <protection hidden="1"/>
    </xf>
    <xf numFmtId="0" fontId="4" fillId="9" borderId="3" xfId="0" applyFont="1" applyFill="1" applyBorder="1" applyAlignment="1" applyProtection="1">
      <alignment horizontal="center" vertical="center"/>
      <protection hidden="1"/>
    </xf>
    <xf numFmtId="0" fontId="4" fillId="9" borderId="8" xfId="0" applyFont="1" applyFill="1" applyBorder="1" applyAlignment="1" applyProtection="1">
      <alignment horizontal="center" vertical="center"/>
      <protection hidden="1"/>
    </xf>
    <xf numFmtId="0" fontId="4" fillId="9" borderId="7" xfId="0" applyFont="1" applyFill="1" applyBorder="1" applyAlignment="1" applyProtection="1">
      <alignment horizontal="center" vertical="center"/>
      <protection hidden="1"/>
    </xf>
    <xf numFmtId="0" fontId="4" fillId="9" borderId="9" xfId="0" applyFont="1" applyFill="1" applyBorder="1" applyAlignment="1" applyProtection="1">
      <alignment horizontal="center" vertical="center"/>
      <protection hidden="1"/>
    </xf>
    <xf numFmtId="0" fontId="4" fillId="2" borderId="1" xfId="0" applyFont="1" applyFill="1" applyBorder="1" applyAlignment="1" applyProtection="1">
      <alignment horizontal="center" vertical="center"/>
      <protection hidden="1"/>
    </xf>
    <xf numFmtId="0" fontId="4" fillId="2" borderId="2" xfId="0" applyFont="1" applyFill="1" applyBorder="1" applyAlignment="1" applyProtection="1">
      <alignment horizontal="center" vertical="center"/>
      <protection hidden="1"/>
    </xf>
    <xf numFmtId="0" fontId="4" fillId="2" borderId="3" xfId="0" applyFont="1" applyFill="1" applyBorder="1" applyAlignment="1" applyProtection="1">
      <alignment horizontal="center" vertical="center"/>
      <protection hidden="1"/>
    </xf>
    <xf numFmtId="0" fontId="4" fillId="2" borderId="8" xfId="0" applyFont="1" applyFill="1" applyBorder="1" applyAlignment="1" applyProtection="1">
      <alignment horizontal="center" vertical="center"/>
      <protection hidden="1"/>
    </xf>
    <xf numFmtId="0" fontId="4" fillId="2" borderId="7" xfId="0" applyFont="1" applyFill="1" applyBorder="1" applyAlignment="1" applyProtection="1">
      <alignment horizontal="center" vertical="center"/>
      <protection hidden="1"/>
    </xf>
    <xf numFmtId="0" fontId="4" fillId="2" borderId="9" xfId="0" applyFont="1" applyFill="1" applyBorder="1" applyAlignment="1" applyProtection="1">
      <alignment horizontal="center" vertical="center"/>
      <protection hidden="1"/>
    </xf>
    <xf numFmtId="0" fontId="7" fillId="9" borderId="1" xfId="0" applyFont="1" applyFill="1" applyBorder="1" applyAlignment="1" applyProtection="1">
      <alignment horizontal="center" vertical="center" wrapText="1"/>
      <protection hidden="1"/>
    </xf>
    <xf numFmtId="0" fontId="4" fillId="9" borderId="2" xfId="0" applyFont="1" applyFill="1" applyBorder="1" applyAlignment="1" applyProtection="1">
      <alignment horizontal="center" vertical="center" wrapText="1"/>
      <protection hidden="1"/>
    </xf>
    <xf numFmtId="0" fontId="4" fillId="9" borderId="3" xfId="0" applyFont="1" applyFill="1" applyBorder="1" applyAlignment="1" applyProtection="1">
      <alignment horizontal="center" vertical="center" wrapText="1"/>
      <protection hidden="1"/>
    </xf>
    <xf numFmtId="0" fontId="4" fillId="9" borderId="8" xfId="0" applyFont="1" applyFill="1" applyBorder="1" applyAlignment="1" applyProtection="1">
      <alignment horizontal="center" vertical="center" wrapText="1"/>
      <protection hidden="1"/>
    </xf>
    <xf numFmtId="0" fontId="4" fillId="9" borderId="7" xfId="0" applyFont="1" applyFill="1" applyBorder="1" applyAlignment="1" applyProtection="1">
      <alignment horizontal="center" vertical="center" wrapText="1"/>
      <protection hidden="1"/>
    </xf>
    <xf numFmtId="0" fontId="4" fillId="9" borderId="9" xfId="0" applyFont="1" applyFill="1" applyBorder="1" applyAlignment="1" applyProtection="1">
      <alignment horizontal="center" vertical="center" wrapText="1"/>
      <protection hidden="1"/>
    </xf>
    <xf numFmtId="0" fontId="7" fillId="9" borderId="2" xfId="0" applyFont="1" applyFill="1" applyBorder="1" applyAlignment="1" applyProtection="1">
      <alignment horizontal="center" vertical="center" wrapText="1"/>
      <protection hidden="1"/>
    </xf>
    <xf numFmtId="0" fontId="7" fillId="9" borderId="3" xfId="0" applyFont="1" applyFill="1" applyBorder="1" applyAlignment="1" applyProtection="1">
      <alignment horizontal="center" vertical="center" wrapText="1"/>
      <protection hidden="1"/>
    </xf>
    <xf numFmtId="0" fontId="7" fillId="9" borderId="8" xfId="0" applyFont="1" applyFill="1" applyBorder="1" applyAlignment="1" applyProtection="1">
      <alignment horizontal="center" vertical="center" wrapText="1"/>
      <protection hidden="1"/>
    </xf>
    <xf numFmtId="0" fontId="7" fillId="9" borderId="7" xfId="0" applyFont="1" applyFill="1" applyBorder="1" applyAlignment="1" applyProtection="1">
      <alignment horizontal="center" vertical="center" wrapText="1"/>
      <protection hidden="1"/>
    </xf>
    <xf numFmtId="0" fontId="7" fillId="9" borderId="9" xfId="0" applyFont="1" applyFill="1" applyBorder="1" applyAlignment="1" applyProtection="1">
      <alignment horizontal="center" vertical="center" wrapText="1"/>
      <protection hidden="1"/>
    </xf>
    <xf numFmtId="0" fontId="9" fillId="9" borderId="4" xfId="0" applyFont="1" applyFill="1" applyBorder="1" applyAlignment="1" applyProtection="1">
      <alignment horizontal="center" vertical="center"/>
      <protection locked="0"/>
    </xf>
    <xf numFmtId="0" fontId="9" fillId="9" borderId="5" xfId="0" applyFont="1" applyFill="1" applyBorder="1" applyAlignment="1" applyProtection="1">
      <alignment horizontal="center" vertical="center"/>
      <protection locked="0"/>
    </xf>
    <xf numFmtId="0" fontId="9" fillId="9" borderId="6" xfId="0" applyFont="1" applyFill="1" applyBorder="1" applyAlignment="1" applyProtection="1">
      <alignment horizontal="center" vertical="center"/>
      <protection locked="0"/>
    </xf>
    <xf numFmtId="0" fontId="9" fillId="9" borderId="4" xfId="0" applyFont="1" applyFill="1" applyBorder="1" applyAlignment="1" applyProtection="1">
      <alignment horizontal="center" vertical="center"/>
      <protection hidden="1"/>
    </xf>
    <xf numFmtId="0" fontId="9" fillId="9" borderId="5" xfId="0" applyFont="1" applyFill="1" applyBorder="1" applyAlignment="1" applyProtection="1">
      <alignment horizontal="center" vertical="center"/>
      <protection hidden="1"/>
    </xf>
    <xf numFmtId="0" fontId="9" fillId="9" borderId="6" xfId="0" applyFont="1" applyFill="1" applyBorder="1" applyAlignment="1" applyProtection="1">
      <alignment horizontal="center" vertical="center"/>
      <protection hidden="1"/>
    </xf>
    <xf numFmtId="0" fontId="12" fillId="3" borderId="4" xfId="0" applyFont="1" applyFill="1" applyBorder="1" applyAlignment="1" applyProtection="1">
      <alignment horizontal="center" vertical="center"/>
      <protection hidden="1"/>
    </xf>
    <xf numFmtId="0" fontId="12" fillId="3" borderId="5" xfId="0" applyFont="1" applyFill="1" applyBorder="1" applyAlignment="1" applyProtection="1">
      <alignment horizontal="center" vertical="center"/>
      <protection hidden="1"/>
    </xf>
    <xf numFmtId="0" fontId="12" fillId="3" borderId="6" xfId="0" applyFont="1" applyFill="1" applyBorder="1" applyAlignment="1" applyProtection="1">
      <alignment horizontal="center" vertical="center"/>
      <protection hidden="1"/>
    </xf>
    <xf numFmtId="0" fontId="6" fillId="3" borderId="1" xfId="0" applyFont="1" applyFill="1" applyBorder="1" applyAlignment="1" applyProtection="1">
      <alignment horizontal="center" vertical="center"/>
      <protection hidden="1"/>
    </xf>
    <xf numFmtId="0" fontId="6" fillId="3" borderId="2" xfId="0" applyFont="1" applyFill="1" applyBorder="1" applyAlignment="1" applyProtection="1">
      <alignment horizontal="center" vertical="center"/>
      <protection hidden="1"/>
    </xf>
    <xf numFmtId="0" fontId="6" fillId="3" borderId="3" xfId="0" applyFont="1" applyFill="1" applyBorder="1" applyAlignment="1" applyProtection="1">
      <alignment horizontal="center" vertical="center"/>
      <protection hidden="1"/>
    </xf>
    <xf numFmtId="0" fontId="6" fillId="3" borderId="8" xfId="0" applyFont="1" applyFill="1" applyBorder="1" applyAlignment="1" applyProtection="1">
      <alignment horizontal="center" vertical="center"/>
      <protection hidden="1"/>
    </xf>
    <xf numFmtId="0" fontId="6" fillId="3" borderId="7" xfId="0" applyFont="1" applyFill="1" applyBorder="1" applyAlignment="1" applyProtection="1">
      <alignment horizontal="center" vertical="center"/>
      <protection hidden="1"/>
    </xf>
    <xf numFmtId="0" fontId="6" fillId="3" borderId="9" xfId="0" applyFont="1" applyFill="1" applyBorder="1" applyAlignment="1" applyProtection="1">
      <alignment horizontal="center" vertical="center"/>
      <protection hidden="1"/>
    </xf>
    <xf numFmtId="0" fontId="7" fillId="4" borderId="1" xfId="0" applyFont="1" applyFill="1" applyBorder="1" applyAlignment="1" applyProtection="1">
      <alignment horizontal="center" vertical="center"/>
      <protection hidden="1"/>
    </xf>
    <xf numFmtId="0" fontId="7" fillId="4" borderId="2" xfId="0" applyFont="1" applyFill="1" applyBorder="1" applyAlignment="1" applyProtection="1">
      <alignment horizontal="center" vertical="center"/>
      <protection hidden="1"/>
    </xf>
    <xf numFmtId="0" fontId="7" fillId="4" borderId="3" xfId="0" applyFont="1" applyFill="1" applyBorder="1" applyAlignment="1" applyProtection="1">
      <alignment horizontal="center" vertical="center"/>
      <protection hidden="1"/>
    </xf>
    <xf numFmtId="0" fontId="7" fillId="4" borderId="8" xfId="0" applyFont="1" applyFill="1" applyBorder="1" applyAlignment="1" applyProtection="1">
      <alignment horizontal="center" vertical="center"/>
      <protection hidden="1"/>
    </xf>
    <xf numFmtId="0" fontId="7" fillId="4" borderId="7" xfId="0" applyFont="1" applyFill="1" applyBorder="1" applyAlignment="1" applyProtection="1">
      <alignment horizontal="center" vertical="center"/>
      <protection hidden="1"/>
    </xf>
    <xf numFmtId="0" fontId="7" fillId="4" borderId="9" xfId="0" applyFont="1" applyFill="1" applyBorder="1" applyAlignment="1" applyProtection="1">
      <alignment horizontal="center" vertical="center"/>
      <protection hidden="1"/>
    </xf>
    <xf numFmtId="0" fontId="7" fillId="5" borderId="1" xfId="0" applyFont="1" applyFill="1" applyBorder="1" applyAlignment="1" applyProtection="1">
      <alignment horizontal="center" vertical="center"/>
      <protection hidden="1"/>
    </xf>
    <xf numFmtId="0" fontId="7" fillId="5" borderId="2" xfId="0" applyFont="1" applyFill="1" applyBorder="1" applyAlignment="1" applyProtection="1">
      <alignment horizontal="center" vertical="center"/>
      <protection hidden="1"/>
    </xf>
    <xf numFmtId="0" fontId="7" fillId="5" borderId="3" xfId="0" applyFont="1" applyFill="1" applyBorder="1" applyAlignment="1" applyProtection="1">
      <alignment horizontal="center" vertical="center"/>
      <protection hidden="1"/>
    </xf>
    <xf numFmtId="0" fontId="7" fillId="5" borderId="8" xfId="0" applyFont="1" applyFill="1" applyBorder="1" applyAlignment="1" applyProtection="1">
      <alignment horizontal="center" vertical="center"/>
      <protection hidden="1"/>
    </xf>
    <xf numFmtId="0" fontId="7" fillId="5" borderId="7" xfId="0" applyFont="1" applyFill="1" applyBorder="1" applyAlignment="1" applyProtection="1">
      <alignment horizontal="center" vertical="center"/>
      <protection hidden="1"/>
    </xf>
    <xf numFmtId="0" fontId="7" fillId="5" borderId="9" xfId="0" applyFont="1" applyFill="1" applyBorder="1" applyAlignment="1" applyProtection="1">
      <alignment horizontal="center" vertical="center"/>
      <protection hidden="1"/>
    </xf>
    <xf numFmtId="0" fontId="9" fillId="0" borderId="4" xfId="0" applyFont="1" applyBorder="1" applyAlignment="1" applyProtection="1">
      <alignment horizontal="center" vertical="center"/>
      <protection hidden="1"/>
    </xf>
    <xf numFmtId="0" fontId="9" fillId="0" borderId="5" xfId="0" applyFont="1" applyBorder="1" applyAlignment="1" applyProtection="1">
      <alignment horizontal="center" vertical="center"/>
      <protection hidden="1"/>
    </xf>
    <xf numFmtId="0" fontId="9" fillId="0" borderId="13" xfId="0" applyFont="1" applyBorder="1" applyAlignment="1" applyProtection="1">
      <alignment horizontal="center" vertical="center"/>
      <protection hidden="1"/>
    </xf>
    <xf numFmtId="0" fontId="9" fillId="4" borderId="4" xfId="0" applyFont="1" applyFill="1" applyBorder="1" applyAlignment="1" applyProtection="1">
      <alignment horizontal="center" vertical="center"/>
      <protection hidden="1"/>
    </xf>
    <xf numFmtId="0" fontId="9" fillId="4" borderId="5" xfId="0" applyFont="1" applyFill="1" applyBorder="1" applyAlignment="1" applyProtection="1">
      <alignment horizontal="center" vertical="center"/>
      <protection hidden="1"/>
    </xf>
    <xf numFmtId="0" fontId="9" fillId="4" borderId="6" xfId="0" applyFont="1" applyFill="1" applyBorder="1" applyAlignment="1" applyProtection="1">
      <alignment horizontal="center" vertical="center"/>
      <protection hidden="1"/>
    </xf>
    <xf numFmtId="0" fontId="9" fillId="5" borderId="4" xfId="0" applyFont="1" applyFill="1" applyBorder="1" applyAlignment="1" applyProtection="1">
      <alignment horizontal="center" vertical="center"/>
      <protection hidden="1"/>
    </xf>
    <xf numFmtId="0" fontId="9" fillId="5" borderId="5" xfId="0" applyFont="1" applyFill="1" applyBorder="1" applyAlignment="1" applyProtection="1">
      <alignment horizontal="center" vertical="center"/>
      <protection hidden="1"/>
    </xf>
    <xf numFmtId="0" fontId="9" fillId="5" borderId="6" xfId="0" applyFont="1" applyFill="1" applyBorder="1" applyAlignment="1" applyProtection="1">
      <alignment horizontal="center" vertical="center"/>
      <protection hidden="1"/>
    </xf>
    <xf numFmtId="0" fontId="9" fillId="6" borderId="4" xfId="0" applyFont="1" applyFill="1" applyBorder="1" applyAlignment="1" applyProtection="1">
      <alignment horizontal="center" vertical="center"/>
      <protection hidden="1"/>
    </xf>
    <xf numFmtId="0" fontId="9" fillId="6" borderId="5" xfId="0" applyFont="1" applyFill="1" applyBorder="1" applyAlignment="1" applyProtection="1">
      <alignment horizontal="center" vertical="center"/>
      <protection hidden="1"/>
    </xf>
    <xf numFmtId="0" fontId="9" fillId="6" borderId="6" xfId="0" applyFont="1" applyFill="1" applyBorder="1" applyAlignment="1" applyProtection="1">
      <alignment horizontal="center" vertical="center"/>
      <protection hidden="1"/>
    </xf>
    <xf numFmtId="0" fontId="9" fillId="10" borderId="4" xfId="0" applyFont="1" applyFill="1" applyBorder="1" applyAlignment="1" applyProtection="1">
      <alignment horizontal="center" vertical="center"/>
      <protection hidden="1"/>
    </xf>
    <xf numFmtId="0" fontId="9" fillId="10" borderId="5" xfId="0" applyFont="1" applyFill="1" applyBorder="1" applyAlignment="1" applyProtection="1">
      <alignment horizontal="center" vertical="center"/>
      <protection hidden="1"/>
    </xf>
    <xf numFmtId="0" fontId="9" fillId="10" borderId="6" xfId="0" applyFont="1" applyFill="1" applyBorder="1" applyAlignment="1" applyProtection="1">
      <alignment horizontal="center" vertical="center"/>
      <protection hidden="1"/>
    </xf>
    <xf numFmtId="0" fontId="9" fillId="0" borderId="12" xfId="0" applyFont="1" applyBorder="1" applyAlignment="1" applyProtection="1">
      <alignment horizontal="center" vertical="center"/>
      <protection hidden="1"/>
    </xf>
    <xf numFmtId="0" fontId="9" fillId="0" borderId="6" xfId="0" applyFont="1" applyBorder="1" applyAlignment="1" applyProtection="1">
      <alignment horizontal="center" vertical="center"/>
      <protection hidden="1"/>
    </xf>
    <xf numFmtId="0" fontId="7" fillId="2" borderId="4" xfId="0" applyFont="1" applyFill="1" applyBorder="1" applyAlignment="1" applyProtection="1">
      <alignment horizontal="center" vertical="center"/>
      <protection hidden="1"/>
    </xf>
    <xf numFmtId="0" fontId="7" fillId="2" borderId="5" xfId="0" applyFont="1" applyFill="1" applyBorder="1" applyAlignment="1" applyProtection="1">
      <alignment horizontal="center" vertical="center"/>
      <protection hidden="1"/>
    </xf>
    <xf numFmtId="0" fontId="7" fillId="2" borderId="6" xfId="0" applyFont="1" applyFill="1" applyBorder="1" applyAlignment="1" applyProtection="1">
      <alignment horizontal="center" vertical="center"/>
      <protection hidden="1"/>
    </xf>
    <xf numFmtId="0" fontId="4" fillId="10" borderId="4" xfId="0" applyFont="1" applyFill="1" applyBorder="1" applyAlignment="1" applyProtection="1">
      <alignment horizontal="center" vertical="center"/>
      <protection hidden="1"/>
    </xf>
    <xf numFmtId="0" fontId="4" fillId="10" borderId="5" xfId="0" applyFont="1" applyFill="1" applyBorder="1" applyAlignment="1" applyProtection="1">
      <alignment horizontal="center" vertical="center"/>
      <protection hidden="1"/>
    </xf>
    <xf numFmtId="0" fontId="4" fillId="10" borderId="6" xfId="0" applyFont="1" applyFill="1" applyBorder="1" applyAlignment="1" applyProtection="1">
      <alignment horizontal="center" vertical="center"/>
      <protection hidden="1"/>
    </xf>
    <xf numFmtId="0" fontId="13" fillId="3" borderId="5" xfId="0" applyFont="1" applyFill="1" applyBorder="1" applyAlignment="1" applyProtection="1">
      <alignment horizontal="center" vertical="center"/>
      <protection hidden="1"/>
    </xf>
    <xf numFmtId="0" fontId="13" fillId="3" borderId="6" xfId="0" applyFont="1" applyFill="1" applyBorder="1" applyAlignment="1" applyProtection="1">
      <alignment horizontal="center" vertical="center"/>
      <protection hidden="1"/>
    </xf>
    <xf numFmtId="0" fontId="4" fillId="4" borderId="4" xfId="0" applyFont="1" applyFill="1" applyBorder="1" applyAlignment="1" applyProtection="1">
      <alignment horizontal="center" vertical="center"/>
      <protection hidden="1"/>
    </xf>
    <xf numFmtId="0" fontId="4" fillId="4" borderId="5" xfId="0" applyFont="1" applyFill="1" applyBorder="1" applyAlignment="1" applyProtection="1">
      <alignment horizontal="center" vertical="center"/>
      <protection hidden="1"/>
    </xf>
    <xf numFmtId="0" fontId="4" fillId="4" borderId="6" xfId="0" applyFont="1" applyFill="1" applyBorder="1" applyAlignment="1" applyProtection="1">
      <alignment horizontal="center" vertical="center"/>
      <protection hidden="1"/>
    </xf>
    <xf numFmtId="0" fontId="4" fillId="5" borderId="4" xfId="0" applyFont="1" applyFill="1" applyBorder="1" applyAlignment="1" applyProtection="1">
      <alignment horizontal="center" vertical="center"/>
      <protection hidden="1"/>
    </xf>
    <xf numFmtId="0" fontId="4" fillId="5" borderId="5" xfId="0" applyFont="1" applyFill="1" applyBorder="1" applyAlignment="1" applyProtection="1">
      <alignment horizontal="center" vertical="center"/>
      <protection hidden="1"/>
    </xf>
    <xf numFmtId="0" fontId="4" fillId="5" borderId="6" xfId="0" applyFont="1" applyFill="1" applyBorder="1" applyAlignment="1" applyProtection="1">
      <alignment horizontal="center" vertical="center"/>
      <protection hidden="1"/>
    </xf>
    <xf numFmtId="0" fontId="4" fillId="6" borderId="4" xfId="0" applyFont="1" applyFill="1" applyBorder="1" applyAlignment="1" applyProtection="1">
      <alignment horizontal="center" vertical="center"/>
      <protection hidden="1"/>
    </xf>
    <xf numFmtId="0" fontId="4" fillId="6" borderId="5" xfId="0" applyFont="1" applyFill="1" applyBorder="1" applyAlignment="1" applyProtection="1">
      <alignment horizontal="center" vertical="center"/>
      <protection hidden="1"/>
    </xf>
    <xf numFmtId="0" fontId="4" fillId="6" borderId="6" xfId="0" applyFont="1" applyFill="1" applyBorder="1" applyAlignment="1" applyProtection="1">
      <alignment horizontal="center" vertical="center"/>
      <protection hidden="1"/>
    </xf>
    <xf numFmtId="0" fontId="4" fillId="9" borderId="4" xfId="0" applyFont="1" applyFill="1" applyBorder="1" applyAlignment="1" applyProtection="1">
      <alignment horizontal="center" vertical="center"/>
      <protection hidden="1"/>
    </xf>
    <xf numFmtId="0" fontId="4" fillId="9" borderId="5" xfId="0" applyFont="1" applyFill="1" applyBorder="1" applyAlignment="1" applyProtection="1">
      <alignment horizontal="center" vertical="center"/>
      <protection hidden="1"/>
    </xf>
    <xf numFmtId="0" fontId="4" fillId="9" borderId="6" xfId="0" applyFont="1" applyFill="1" applyBorder="1" applyAlignment="1" applyProtection="1">
      <alignment horizontal="center" vertical="center"/>
      <protection hidden="1"/>
    </xf>
    <xf numFmtId="0" fontId="4" fillId="13" borderId="8" xfId="0" applyFont="1" applyFill="1" applyBorder="1" applyAlignment="1" applyProtection="1">
      <alignment horizontal="center" vertical="center" wrapText="1"/>
      <protection hidden="1"/>
    </xf>
    <xf numFmtId="0" fontId="4" fillId="13" borderId="9" xfId="0" applyFont="1" applyFill="1" applyBorder="1" applyAlignment="1" applyProtection="1">
      <alignment horizontal="center" vertical="center" wrapText="1"/>
      <protection hidden="1"/>
    </xf>
    <xf numFmtId="0" fontId="4" fillId="9" borderId="4" xfId="0" applyFont="1" applyFill="1" applyBorder="1" applyAlignment="1" applyProtection="1">
      <alignment horizontal="center" vertical="center" wrapText="1"/>
      <protection hidden="1"/>
    </xf>
    <xf numFmtId="0" fontId="4" fillId="9" borderId="6" xfId="0" applyFont="1" applyFill="1" applyBorder="1" applyAlignment="1" applyProtection="1">
      <alignment horizontal="center" vertical="center" wrapText="1"/>
      <protection hidden="1"/>
    </xf>
    <xf numFmtId="0" fontId="4" fillId="9" borderId="5" xfId="0" applyFont="1" applyFill="1" applyBorder="1" applyAlignment="1" applyProtection="1">
      <alignment horizontal="center" vertical="center" wrapText="1"/>
      <protection hidden="1"/>
    </xf>
    <xf numFmtId="0" fontId="1" fillId="0" borderId="13" xfId="0" applyFont="1" applyBorder="1" applyAlignment="1" applyProtection="1">
      <alignment horizontal="center" textRotation="90" wrapText="1"/>
      <protection hidden="1"/>
    </xf>
    <xf numFmtId="0" fontId="1" fillId="0" borderId="5" xfId="0" applyFont="1" applyBorder="1" applyAlignment="1" applyProtection="1">
      <alignment horizontal="center" textRotation="90" wrapText="1"/>
      <protection hidden="1"/>
    </xf>
    <xf numFmtId="0" fontId="4" fillId="11" borderId="8" xfId="0" applyFont="1" applyFill="1" applyBorder="1" applyAlignment="1" applyProtection="1">
      <alignment horizontal="center"/>
      <protection hidden="1"/>
    </xf>
    <xf numFmtId="0" fontId="4" fillId="11" borderId="7" xfId="0" applyFont="1" applyFill="1" applyBorder="1" applyAlignment="1" applyProtection="1">
      <alignment horizontal="center"/>
      <protection hidden="1"/>
    </xf>
    <xf numFmtId="0" fontId="4" fillId="11" borderId="9" xfId="0" applyFont="1" applyFill="1" applyBorder="1" applyAlignment="1" applyProtection="1">
      <alignment horizontal="center"/>
      <protection hidden="1"/>
    </xf>
    <xf numFmtId="0" fontId="4" fillId="12" borderId="8" xfId="0" applyFont="1" applyFill="1" applyBorder="1" applyAlignment="1" applyProtection="1">
      <alignment horizontal="center"/>
      <protection hidden="1"/>
    </xf>
    <xf numFmtId="0" fontId="4" fillId="12" borderId="7" xfId="0" applyFont="1" applyFill="1" applyBorder="1" applyAlignment="1" applyProtection="1">
      <alignment horizontal="center"/>
      <protection hidden="1"/>
    </xf>
    <xf numFmtId="0" fontId="4" fillId="12" borderId="9" xfId="0" applyFont="1" applyFill="1" applyBorder="1" applyAlignment="1" applyProtection="1">
      <alignment horizontal="center"/>
      <protection hidden="1"/>
    </xf>
    <xf numFmtId="0" fontId="4" fillId="13" borderId="8" xfId="0" applyFont="1" applyFill="1" applyBorder="1" applyAlignment="1" applyProtection="1">
      <alignment horizontal="center"/>
      <protection hidden="1"/>
    </xf>
    <xf numFmtId="0" fontId="4" fillId="13" borderId="7" xfId="0" applyFont="1" applyFill="1" applyBorder="1" applyAlignment="1" applyProtection="1">
      <alignment horizontal="center"/>
      <protection hidden="1"/>
    </xf>
    <xf numFmtId="0" fontId="4" fillId="13" borderId="9" xfId="0" applyFont="1" applyFill="1" applyBorder="1" applyAlignment="1" applyProtection="1">
      <alignment horizontal="center"/>
      <protection hidden="1"/>
    </xf>
    <xf numFmtId="0" fontId="4" fillId="11" borderId="8" xfId="0" applyFont="1" applyFill="1" applyBorder="1" applyAlignment="1" applyProtection="1">
      <alignment horizontal="center" vertical="center" wrapText="1"/>
      <protection hidden="1"/>
    </xf>
    <xf numFmtId="0" fontId="4" fillId="11" borderId="9" xfId="0" applyFont="1" applyFill="1" applyBorder="1" applyAlignment="1" applyProtection="1">
      <alignment horizontal="center" vertical="center" wrapText="1"/>
      <protection hidden="1"/>
    </xf>
    <xf numFmtId="0" fontId="4" fillId="12" borderId="8" xfId="0" applyFont="1" applyFill="1" applyBorder="1" applyAlignment="1" applyProtection="1">
      <alignment horizontal="center" vertical="center" wrapText="1"/>
      <protection hidden="1"/>
    </xf>
    <xf numFmtId="0" fontId="4" fillId="12" borderId="9" xfId="0" applyFont="1" applyFill="1" applyBorder="1" applyAlignment="1" applyProtection="1">
      <alignment horizontal="center" vertical="center" wrapText="1"/>
      <protection hidden="1"/>
    </xf>
    <xf numFmtId="0" fontId="4" fillId="2" borderId="0" xfId="0" applyFont="1" applyFill="1" applyAlignment="1" applyProtection="1">
      <alignment vertical="center"/>
      <protection hidden="1"/>
    </xf>
    <xf numFmtId="0" fontId="4" fillId="17" borderId="8" xfId="0" applyFont="1" applyFill="1" applyBorder="1" applyAlignment="1" applyProtection="1">
      <alignment horizontal="center" vertical="center"/>
      <protection hidden="1"/>
    </xf>
    <xf numFmtId="0" fontId="4" fillId="17" borderId="7" xfId="0" applyFont="1" applyFill="1" applyBorder="1" applyAlignment="1" applyProtection="1">
      <alignment horizontal="center" vertical="center"/>
      <protection hidden="1"/>
    </xf>
    <xf numFmtId="0" fontId="4" fillId="17" borderId="9" xfId="0" applyFont="1" applyFill="1" applyBorder="1" applyAlignment="1" applyProtection="1">
      <alignment horizontal="center" vertical="center"/>
      <protection hidden="1"/>
    </xf>
    <xf numFmtId="0" fontId="4" fillId="18" borderId="8" xfId="0" applyFont="1" applyFill="1" applyBorder="1" applyAlignment="1" applyProtection="1">
      <alignment horizontal="center" vertical="center"/>
      <protection hidden="1"/>
    </xf>
    <xf numFmtId="0" fontId="4" fillId="18" borderId="7" xfId="0" applyFont="1" applyFill="1" applyBorder="1" applyAlignment="1" applyProtection="1">
      <alignment horizontal="center" vertical="center"/>
      <protection hidden="1"/>
    </xf>
    <xf numFmtId="0" fontId="4" fillId="18" borderId="9" xfId="0" applyFont="1" applyFill="1" applyBorder="1" applyAlignment="1" applyProtection="1">
      <alignment horizontal="center" vertical="center"/>
      <protection hidden="1"/>
    </xf>
    <xf numFmtId="0" fontId="4" fillId="11" borderId="8" xfId="0" applyFont="1" applyFill="1" applyBorder="1" applyAlignment="1" applyProtection="1">
      <alignment horizontal="center" vertical="center"/>
      <protection hidden="1"/>
    </xf>
    <xf numFmtId="0" fontId="4" fillId="11" borderId="9" xfId="0" applyFont="1" applyFill="1" applyBorder="1" applyAlignment="1" applyProtection="1">
      <alignment horizontal="center" vertical="center"/>
      <protection hidden="1"/>
    </xf>
    <xf numFmtId="0" fontId="4" fillId="12" borderId="8" xfId="0" applyFont="1" applyFill="1" applyBorder="1" applyAlignment="1" applyProtection="1">
      <alignment horizontal="center" vertical="center"/>
      <protection hidden="1"/>
    </xf>
    <xf numFmtId="0" fontId="4" fillId="12" borderId="9" xfId="0" applyFont="1" applyFill="1" applyBorder="1" applyAlignment="1" applyProtection="1">
      <alignment horizontal="center" vertical="center"/>
      <protection hidden="1"/>
    </xf>
    <xf numFmtId="0" fontId="4" fillId="13" borderId="8" xfId="0" applyFont="1" applyFill="1" applyBorder="1" applyAlignment="1" applyProtection="1">
      <alignment horizontal="center" vertical="center"/>
      <protection hidden="1"/>
    </xf>
    <xf numFmtId="0" fontId="4" fillId="13" borderId="9" xfId="0" applyFont="1" applyFill="1" applyBorder="1" applyAlignment="1" applyProtection="1">
      <alignment horizontal="center" vertical="center"/>
      <protection hidden="1"/>
    </xf>
    <xf numFmtId="0" fontId="4" fillId="14" borderId="8" xfId="0" applyFont="1" applyFill="1" applyBorder="1" applyAlignment="1" applyProtection="1">
      <alignment horizontal="center" vertical="center"/>
      <protection hidden="1"/>
    </xf>
    <xf numFmtId="0" fontId="4" fillId="14" borderId="7" xfId="0" applyFont="1" applyFill="1" applyBorder="1" applyAlignment="1" applyProtection="1">
      <alignment horizontal="center" vertical="center"/>
      <protection hidden="1"/>
    </xf>
    <xf numFmtId="0" fontId="4" fillId="14" borderId="9" xfId="0" applyFont="1" applyFill="1" applyBorder="1" applyAlignment="1" applyProtection="1">
      <alignment horizontal="center" vertical="center"/>
      <protection hidden="1"/>
    </xf>
    <xf numFmtId="0" fontId="4" fillId="15" borderId="8" xfId="0" applyFont="1" applyFill="1" applyBorder="1" applyAlignment="1" applyProtection="1">
      <alignment horizontal="center" vertical="center"/>
      <protection hidden="1"/>
    </xf>
    <xf numFmtId="0" fontId="4" fillId="15" borderId="7" xfId="0" applyFont="1" applyFill="1" applyBorder="1" applyAlignment="1" applyProtection="1">
      <alignment horizontal="center" vertical="center"/>
      <protection hidden="1"/>
    </xf>
    <xf numFmtId="0" fontId="4" fillId="15" borderId="9" xfId="0" applyFont="1" applyFill="1" applyBorder="1" applyAlignment="1" applyProtection="1">
      <alignment horizontal="center" vertical="center"/>
      <protection hidden="1"/>
    </xf>
    <xf numFmtId="0" fontId="14" fillId="16" borderId="8" xfId="0" applyFont="1" applyFill="1" applyBorder="1" applyAlignment="1" applyProtection="1">
      <alignment horizontal="center" vertical="center"/>
      <protection hidden="1"/>
    </xf>
    <xf numFmtId="0" fontId="14" fillId="16" borderId="7" xfId="0" applyFont="1" applyFill="1" applyBorder="1" applyAlignment="1" applyProtection="1">
      <alignment horizontal="center" vertical="center"/>
      <protection hidden="1"/>
    </xf>
    <xf numFmtId="0" fontId="14" fillId="16" borderId="9" xfId="0" applyFont="1" applyFill="1" applyBorder="1" applyAlignment="1" applyProtection="1">
      <alignment horizontal="center" vertical="center"/>
      <protection hidden="1"/>
    </xf>
  </cellXfs>
  <cellStyles count="2">
    <cellStyle name="Normal" xfId="0" builtinId="0"/>
    <cellStyle name="Percent" xfId="1" builtinId="5"/>
  </cellStyles>
  <dxfs count="34">
    <dxf>
      <font>
        <color theme="0"/>
      </font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rgb="FF0070C0"/>
      </font>
      <fill>
        <patternFill>
          <bgColor rgb="FF0070C0"/>
        </patternFill>
      </fill>
    </dxf>
    <dxf>
      <font>
        <color theme="0"/>
      </font>
    </dxf>
    <dxf>
      <font>
        <color rgb="FF0070C0"/>
      </font>
      <fill>
        <patternFill>
          <bgColor rgb="FF0070C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rgb="FFFF0000"/>
      </font>
      <fill>
        <patternFill>
          <bgColor rgb="FFFF0000"/>
        </patternFill>
      </fill>
    </dxf>
    <dxf>
      <font>
        <color theme="0"/>
      </font>
    </dxf>
    <dxf>
      <font>
        <color rgb="FF0070C0"/>
      </font>
      <fill>
        <patternFill>
          <bgColor rgb="FF0070C0"/>
        </patternFill>
      </fill>
    </dxf>
    <dxf>
      <font>
        <color theme="0"/>
      </font>
    </dxf>
    <dxf>
      <font>
        <color rgb="FF0070C0"/>
      </font>
      <fill>
        <patternFill>
          <bgColor rgb="FF0070C0"/>
        </patternFill>
      </fill>
    </dxf>
    <dxf>
      <font>
        <color theme="0"/>
      </font>
      <fill>
        <patternFill>
          <bgColor theme="0"/>
        </patternFill>
      </fill>
    </dxf>
    <dxf>
      <font>
        <color rgb="FF00B050"/>
      </font>
      <fill>
        <patternFill>
          <bgColor rgb="FF00B050"/>
        </patternFill>
      </fill>
    </dxf>
    <dxf>
      <font>
        <color theme="0"/>
      </font>
    </dxf>
    <dxf>
      <font>
        <color rgb="FF00B050"/>
      </font>
      <fill>
        <patternFill>
          <bgColor rgb="FF00B050"/>
        </patternFill>
      </fill>
    </dxf>
    <dxf>
      <font>
        <color rgb="FFFFFF00"/>
      </font>
      <fill>
        <patternFill>
          <bgColor rgb="FFFFFF00"/>
        </patternFill>
      </fill>
    </dxf>
    <dxf>
      <font>
        <color rgb="FFFFFF00"/>
      </font>
      <fill>
        <patternFill>
          <bgColor rgb="FFFFFF00"/>
        </patternFill>
      </fill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  <dxf>
      <font>
        <color theme="0"/>
      </font>
    </dxf>
  </dxfs>
  <tableStyles count="0" defaultTableStyle="TableStyleMedium2" defaultPivotStyle="PivotStyleLight16"/>
  <colors>
    <mruColors>
      <color rgb="FFFFCC6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pn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png"/><Relationship Id="rId2" Type="http://schemas.openxmlformats.org/officeDocument/2006/relationships/image" Target="../media/image2.png"/><Relationship Id="rId16" Type="http://schemas.openxmlformats.org/officeDocument/2006/relationships/image" Target="../media/image16.png"/><Relationship Id="rId1" Type="http://schemas.openxmlformats.org/officeDocument/2006/relationships/image" Target="../media/image1.jpe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Relationship Id="rId14" Type="http://schemas.openxmlformats.org/officeDocument/2006/relationships/image" Target="../media/image1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186</xdr:col>
      <xdr:colOff>13607</xdr:colOff>
      <xdr:row>7</xdr:row>
      <xdr:rowOff>27214</xdr:rowOff>
    </xdr:from>
    <xdr:to>
      <xdr:col>186</xdr:col>
      <xdr:colOff>1021607</xdr:colOff>
      <xdr:row>7</xdr:row>
      <xdr:rowOff>1035214</xdr:rowOff>
    </xdr:to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76165982" y="2227489"/>
          <a:ext cx="1008000" cy="1008000"/>
        </a:xfrm>
        <a:prstGeom prst="rect">
          <a:avLst/>
        </a:prstGeom>
        <a:noFill/>
      </xdr:spPr>
    </xdr:pic>
    <xdr:clientData/>
  </xdr:twoCellAnchor>
  <xdr:twoCellAnchor>
    <xdr:from>
      <xdr:col>601</xdr:col>
      <xdr:colOff>46265</xdr:colOff>
      <xdr:row>6</xdr:row>
      <xdr:rowOff>0</xdr:rowOff>
    </xdr:from>
    <xdr:to>
      <xdr:col>601</xdr:col>
      <xdr:colOff>3358265</xdr:colOff>
      <xdr:row>15</xdr:row>
      <xdr:rowOff>285750</xdr:rowOff>
    </xdr:to>
    <xdr:sp macro="" textlink="">
      <xdr:nvSpPr>
        <xdr:cNvPr id="3" name="Text Box 3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SpPr txBox="1">
          <a:spLocks noChangeArrowheads="1"/>
        </xdr:cNvSpPr>
      </xdr:nvSpPr>
      <xdr:spPr bwMode="auto">
        <a:xfrm>
          <a:off x="373664390" y="1885950"/>
          <a:ext cx="3312000" cy="634365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NÚMERO DE CREDITOS REQUERIDOS PARA LA MÁXIMA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INSIGNIA:  </a:t>
          </a: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12 CREDITOS</a:t>
          </a: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A) CONVENIOS O ACUERDOS INSTITUCIONALES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(LINEAS INSTITUCIONALES DE SERVICIO) </a:t>
          </a:r>
        </a:p>
        <a:p>
          <a:pPr algn="ctr" rtl="1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4 CREDITOS / 6 MESES DE SERVICIO </a:t>
          </a:r>
          <a:endParaRPr lang="es-VE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B) CICLOS INSTITUCIONALES CON TRABAJOS EN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CONJUNTO CON LA COMUNIDAD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(50.000 HORAS DE SOLIDARIDAD, DÍA DE LAS AGUAS) </a:t>
          </a:r>
        </a:p>
        <a:p>
          <a:pPr algn="ctr" rtl="1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2 CREDITOS </a:t>
          </a:r>
          <a:endParaRPr lang="es-VE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C) CICLOS INSTITUCIONALES CON SERVICIO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(RALLY'S, CADIPAS, CAREPAS, JOTI) </a:t>
          </a:r>
        </a:p>
        <a:p>
          <a:pPr algn="ctr" rtl="1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1 CREDITO </a:t>
          </a:r>
          <a:endParaRPr lang="es-VE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D) ACTIVIDADES CURRICULARES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(ASOCIACIÓN DE VECINOS, DELEGADO PREPARADOR) </a:t>
          </a:r>
        </a:p>
        <a:p>
          <a:pPr algn="ctr" rtl="1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3 CREDITOS / 6 MESES DE PARTICIPACIÓN </a:t>
          </a:r>
          <a:endParaRPr lang="es-VE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E) GENERALES POR INICIATIVA PROPIA O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REQUERIMIENTO DE COMUNIDAD </a:t>
          </a:r>
        </a:p>
        <a:p>
          <a:pPr algn="ctr" rtl="1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2 CREDITOS (PATRULLA) </a:t>
          </a:r>
          <a:endParaRPr lang="es-VE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1 CREDITO (UNIDAD, GRUPO, DISTRITO) </a:t>
          </a:r>
          <a:endParaRPr lang="es-VE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ctr" rtl="1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PRIMERA CASILLA:</a:t>
          </a: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INDICAR LETRA Y FECHA (MES/AÑO) </a:t>
          </a:r>
        </a:p>
        <a:p>
          <a:pPr algn="ctr" rtl="1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SEGUNDA CASILLA:</a:t>
          </a: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INDICAR VALOR </a:t>
          </a:r>
        </a:p>
        <a:p>
          <a:pPr algn="ctr" rtl="1">
            <a:defRPr sz="1000"/>
          </a:pPr>
          <a:endParaRPr lang="es-VE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66</xdr:col>
      <xdr:colOff>343348</xdr:colOff>
      <xdr:row>6</xdr:row>
      <xdr:rowOff>3174</xdr:rowOff>
    </xdr:from>
    <xdr:to>
      <xdr:col>66</xdr:col>
      <xdr:colOff>343348</xdr:colOff>
      <xdr:row>6</xdr:row>
      <xdr:rowOff>377735</xdr:rowOff>
    </xdr:to>
    <xdr:pic>
      <xdr:nvPicPr>
        <xdr:cNvPr id="4" name="Picture 4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2823598" y="1889124"/>
          <a:ext cx="1433197" cy="1441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187</xdr:col>
      <xdr:colOff>4536</xdr:colOff>
      <xdr:row>6</xdr:row>
      <xdr:rowOff>0</xdr:rowOff>
    </xdr:from>
    <xdr:to>
      <xdr:col>187</xdr:col>
      <xdr:colOff>4536</xdr:colOff>
      <xdr:row>7</xdr:row>
      <xdr:rowOff>3086</xdr:rowOff>
    </xdr:to>
    <xdr:pic>
      <xdr:nvPicPr>
        <xdr:cNvPr id="5" name="Picture 4">
          <a:extLst>
            <a:ext uri="{FF2B5EF4-FFF2-40B4-BE49-F238E27FC236}">
              <a16:creationId xmlns:a16="http://schemas.microsoft.com/office/drawing/2014/main" id="{00000000-0008-0000-0000-00000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77204661" y="1885950"/>
          <a:ext cx="1433197" cy="14413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614</xdr:col>
      <xdr:colOff>1009650</xdr:colOff>
      <xdr:row>5</xdr:row>
      <xdr:rowOff>304800</xdr:rowOff>
    </xdr:from>
    <xdr:to>
      <xdr:col>614</xdr:col>
      <xdr:colOff>1009650</xdr:colOff>
      <xdr:row>6</xdr:row>
      <xdr:rowOff>298361</xdr:rowOff>
    </xdr:to>
    <xdr:pic>
      <xdr:nvPicPr>
        <xdr:cNvPr id="6" name="Picture 4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86248275" y="1876425"/>
          <a:ext cx="1433198" cy="143183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171</xdr:col>
      <xdr:colOff>11206</xdr:colOff>
      <xdr:row>7</xdr:row>
      <xdr:rowOff>11206</xdr:rowOff>
    </xdr:from>
    <xdr:to>
      <xdr:col>171</xdr:col>
      <xdr:colOff>11206</xdr:colOff>
      <xdr:row>7</xdr:row>
      <xdr:rowOff>190531</xdr:rowOff>
    </xdr:to>
    <xdr:pic>
      <xdr:nvPicPr>
        <xdr:cNvPr id="7" name="Picture 4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69781831" y="2211481"/>
          <a:ext cx="1008000" cy="1008000"/>
        </a:xfrm>
        <a:prstGeom prst="rect">
          <a:avLst/>
        </a:prstGeom>
        <a:noFill/>
      </xdr:spPr>
    </xdr:pic>
    <xdr:clientData/>
  </xdr:twoCellAnchor>
  <xdr:twoCellAnchor editAs="oneCell">
    <xdr:from>
      <xdr:col>154</xdr:col>
      <xdr:colOff>11206</xdr:colOff>
      <xdr:row>7</xdr:row>
      <xdr:rowOff>11206</xdr:rowOff>
    </xdr:from>
    <xdr:to>
      <xdr:col>154</xdr:col>
      <xdr:colOff>11206</xdr:colOff>
      <xdr:row>7</xdr:row>
      <xdr:rowOff>190531</xdr:rowOff>
    </xdr:to>
    <xdr:pic>
      <xdr:nvPicPr>
        <xdr:cNvPr id="8" name="Picture 6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62638081" y="2211481"/>
          <a:ext cx="1008000" cy="1008000"/>
        </a:xfrm>
        <a:prstGeom prst="rect">
          <a:avLst/>
        </a:prstGeom>
        <a:noFill/>
      </xdr:spPr>
    </xdr:pic>
    <xdr:clientData/>
  </xdr:twoCellAnchor>
  <xdr:twoCellAnchor editAs="oneCell">
    <xdr:from>
      <xdr:col>138</xdr:col>
      <xdr:colOff>11206</xdr:colOff>
      <xdr:row>7</xdr:row>
      <xdr:rowOff>11206</xdr:rowOff>
    </xdr:from>
    <xdr:to>
      <xdr:col>138</xdr:col>
      <xdr:colOff>11206</xdr:colOff>
      <xdr:row>7</xdr:row>
      <xdr:rowOff>190531</xdr:rowOff>
    </xdr:to>
    <xdr:pic>
      <xdr:nvPicPr>
        <xdr:cNvPr id="9" name="Picture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55875331" y="2211481"/>
          <a:ext cx="1008000" cy="1008000"/>
        </a:xfrm>
        <a:prstGeom prst="rect">
          <a:avLst/>
        </a:prstGeom>
        <a:noFill/>
      </xdr:spPr>
    </xdr:pic>
    <xdr:clientData/>
  </xdr:twoCellAnchor>
  <xdr:twoCellAnchor editAs="oneCell">
    <xdr:from>
      <xdr:col>122</xdr:col>
      <xdr:colOff>11206</xdr:colOff>
      <xdr:row>7</xdr:row>
      <xdr:rowOff>11206</xdr:rowOff>
    </xdr:from>
    <xdr:to>
      <xdr:col>122</xdr:col>
      <xdr:colOff>11206</xdr:colOff>
      <xdr:row>7</xdr:row>
      <xdr:rowOff>190531</xdr:rowOff>
    </xdr:to>
    <xdr:pic>
      <xdr:nvPicPr>
        <xdr:cNvPr id="10" name="Picture 10">
          <a:extLst>
            <a:ext uri="{FF2B5EF4-FFF2-40B4-BE49-F238E27FC236}">
              <a16:creationId xmlns:a16="http://schemas.microsoft.com/office/drawing/2014/main" id="{00000000-0008-0000-0000-00000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49112581" y="2211481"/>
          <a:ext cx="1008000" cy="1008000"/>
        </a:xfrm>
        <a:prstGeom prst="rect">
          <a:avLst/>
        </a:prstGeom>
        <a:noFill/>
      </xdr:spPr>
    </xdr:pic>
    <xdr:clientData/>
  </xdr:twoCellAnchor>
  <xdr:twoCellAnchor>
    <xdr:from>
      <xdr:col>21</xdr:col>
      <xdr:colOff>349250</xdr:colOff>
      <xdr:row>16</xdr:row>
      <xdr:rowOff>154826</xdr:rowOff>
    </xdr:from>
    <xdr:to>
      <xdr:col>62</xdr:col>
      <xdr:colOff>97678</xdr:colOff>
      <xdr:row>22</xdr:row>
      <xdr:rowOff>157388</xdr:rowOff>
    </xdr:to>
    <xdr:grpSp>
      <xdr:nvGrpSpPr>
        <xdr:cNvPr id="11" name="10 Grupo">
          <a:extLst>
            <a:ext uri="{FF2B5EF4-FFF2-40B4-BE49-F238E27FC236}">
              <a16:creationId xmlns:a16="http://schemas.microsoft.com/office/drawing/2014/main" id="{00000000-0008-0000-0000-00000B000000}"/>
            </a:ext>
          </a:extLst>
        </xdr:cNvPr>
        <xdr:cNvGrpSpPr/>
      </xdr:nvGrpSpPr>
      <xdr:grpSpPr>
        <a:xfrm>
          <a:off x="10064750" y="6454933"/>
          <a:ext cx="15927321" cy="2302169"/>
          <a:chOff x="13412640" y="8523672"/>
          <a:chExt cx="16557252" cy="1899398"/>
        </a:xfrm>
      </xdr:grpSpPr>
      <xdr:pic>
        <xdr:nvPicPr>
          <xdr:cNvPr id="12" name="Picture 2">
            <a:extLst>
              <a:ext uri="{FF2B5EF4-FFF2-40B4-BE49-F238E27FC236}">
                <a16:creationId xmlns:a16="http://schemas.microsoft.com/office/drawing/2014/main" id="{00000000-0008-0000-0000-00000C000000}"/>
              </a:ext>
            </a:extLst>
          </xdr:cNvPr>
          <xdr:cNvPicPr preferRelativeResize="0">
            <a:picLocks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7989892" y="8542564"/>
            <a:ext cx="1980000" cy="1872000"/>
          </a:xfrm>
          <a:prstGeom prst="rect">
            <a:avLst/>
          </a:prstGeom>
          <a:noFill/>
        </xdr:spPr>
      </xdr:pic>
      <xdr:grpSp>
        <xdr:nvGrpSpPr>
          <xdr:cNvPr id="13" name="12 Grupo">
            <a:extLst>
              <a:ext uri="{FF2B5EF4-FFF2-40B4-BE49-F238E27FC236}">
                <a16:creationId xmlns:a16="http://schemas.microsoft.com/office/drawing/2014/main" id="{00000000-0008-0000-0000-00000D000000}"/>
              </a:ext>
            </a:extLst>
          </xdr:cNvPr>
          <xdr:cNvGrpSpPr/>
        </xdr:nvGrpSpPr>
        <xdr:grpSpPr>
          <a:xfrm>
            <a:off x="13412640" y="8523672"/>
            <a:ext cx="12730238" cy="1899398"/>
            <a:chOff x="12348882" y="8852647"/>
            <a:chExt cx="12730238" cy="1925956"/>
          </a:xfrm>
        </xdr:grpSpPr>
        <xdr:pic>
          <xdr:nvPicPr>
            <xdr:cNvPr id="14" name="Picture 4">
              <a:extLst>
                <a:ext uri="{FF2B5EF4-FFF2-40B4-BE49-F238E27FC236}">
                  <a16:creationId xmlns:a16="http://schemas.microsoft.com/office/drawing/2014/main" id="{00000000-0008-0000-0000-00000E000000}"/>
                </a:ext>
              </a:extLst>
            </xdr:cNvPr>
            <xdr:cNvPicPr preferRelativeResize="0">
              <a:picLocks noChangeArrowheads="1"/>
            </xdr:cNvPicPr>
          </xdr:nvPicPr>
          <xdr:blipFill>
            <a:blip xmlns:r="http://schemas.openxmlformats.org/officeDocument/2006/relationships" r:embed="rId3" cstate="print"/>
            <a:srcRect/>
            <a:stretch>
              <a:fillRect/>
            </a:stretch>
          </xdr:blipFill>
          <xdr:spPr bwMode="auto">
            <a:xfrm>
              <a:off x="23099120" y="8875057"/>
              <a:ext cx="1980000" cy="1903546"/>
            </a:xfrm>
            <a:prstGeom prst="rect">
              <a:avLst/>
            </a:prstGeom>
            <a:noFill/>
          </xdr:spPr>
        </xdr:pic>
        <xdr:pic>
          <xdr:nvPicPr>
            <xdr:cNvPr id="15" name="Picture 6">
              <a:extLst>
                <a:ext uri="{FF2B5EF4-FFF2-40B4-BE49-F238E27FC236}">
                  <a16:creationId xmlns:a16="http://schemas.microsoft.com/office/drawing/2014/main" id="{00000000-0008-0000-0000-00000F000000}"/>
                </a:ext>
              </a:extLst>
            </xdr:cNvPr>
            <xdr:cNvPicPr preferRelativeResize="0">
              <a:picLocks noChangeArrowheads="1"/>
            </xdr:cNvPicPr>
          </xdr:nvPicPr>
          <xdr:blipFill>
            <a:blip xmlns:r="http://schemas.openxmlformats.org/officeDocument/2006/relationships" r:embed="rId4" cstate="print"/>
            <a:srcRect/>
            <a:stretch>
              <a:fillRect/>
            </a:stretch>
          </xdr:blipFill>
          <xdr:spPr bwMode="auto">
            <a:xfrm>
              <a:off x="19332057" y="8863852"/>
              <a:ext cx="1980000" cy="1903546"/>
            </a:xfrm>
            <a:prstGeom prst="rect">
              <a:avLst/>
            </a:prstGeom>
            <a:noFill/>
          </xdr:spPr>
        </xdr:pic>
        <xdr:pic>
          <xdr:nvPicPr>
            <xdr:cNvPr id="16" name="Picture 8">
              <a:extLst>
                <a:ext uri="{FF2B5EF4-FFF2-40B4-BE49-F238E27FC236}">
                  <a16:creationId xmlns:a16="http://schemas.microsoft.com/office/drawing/2014/main" id="{00000000-0008-0000-0000-000010000000}"/>
                </a:ext>
              </a:extLst>
            </xdr:cNvPr>
            <xdr:cNvPicPr preferRelativeResize="0">
              <a:picLocks noChangeArrowheads="1"/>
            </xdr:cNvPicPr>
          </xdr:nvPicPr>
          <xdr:blipFill>
            <a:blip xmlns:r="http://schemas.openxmlformats.org/officeDocument/2006/relationships" r:embed="rId5" cstate="print"/>
            <a:srcRect/>
            <a:stretch>
              <a:fillRect/>
            </a:stretch>
          </xdr:blipFill>
          <xdr:spPr bwMode="auto">
            <a:xfrm>
              <a:off x="15884360" y="8852647"/>
              <a:ext cx="1980000" cy="1903546"/>
            </a:xfrm>
            <a:prstGeom prst="rect">
              <a:avLst/>
            </a:prstGeom>
            <a:noFill/>
          </xdr:spPr>
        </xdr:pic>
        <xdr:pic>
          <xdr:nvPicPr>
            <xdr:cNvPr id="17" name="Picture 10">
              <a:extLst>
                <a:ext uri="{FF2B5EF4-FFF2-40B4-BE49-F238E27FC236}">
                  <a16:creationId xmlns:a16="http://schemas.microsoft.com/office/drawing/2014/main" id="{00000000-0008-0000-0000-000011000000}"/>
                </a:ext>
              </a:extLst>
            </xdr:cNvPr>
            <xdr:cNvPicPr preferRelativeResize="0">
              <a:picLocks noChangeArrowheads="1"/>
            </xdr:cNvPicPr>
          </xdr:nvPicPr>
          <xdr:blipFill>
            <a:blip xmlns:r="http://schemas.openxmlformats.org/officeDocument/2006/relationships" r:embed="rId6" cstate="print"/>
            <a:srcRect/>
            <a:stretch>
              <a:fillRect/>
            </a:stretch>
          </xdr:blipFill>
          <xdr:spPr bwMode="auto">
            <a:xfrm>
              <a:off x="12348882" y="8852649"/>
              <a:ext cx="1980000" cy="1903545"/>
            </a:xfrm>
            <a:prstGeom prst="rect">
              <a:avLst/>
            </a:prstGeom>
            <a:noFill/>
          </xdr:spPr>
        </xdr:pic>
      </xdr:grpSp>
    </xdr:grpSp>
    <xdr:clientData/>
  </xdr:twoCellAnchor>
  <xdr:twoCellAnchor>
    <xdr:from>
      <xdr:col>425</xdr:col>
      <xdr:colOff>666750</xdr:colOff>
      <xdr:row>6</xdr:row>
      <xdr:rowOff>390524</xdr:rowOff>
    </xdr:from>
    <xdr:to>
      <xdr:col>439</xdr:col>
      <xdr:colOff>971550</xdr:colOff>
      <xdr:row>7</xdr:row>
      <xdr:rowOff>2105024</xdr:rowOff>
    </xdr:to>
    <xdr:grpSp>
      <xdr:nvGrpSpPr>
        <xdr:cNvPr id="18" name="17 Grupo">
          <a:extLst>
            <a:ext uri="{FF2B5EF4-FFF2-40B4-BE49-F238E27FC236}">
              <a16:creationId xmlns:a16="http://schemas.microsoft.com/office/drawing/2014/main" id="{00000000-0008-0000-0000-000012000000}"/>
            </a:ext>
          </a:extLst>
        </xdr:cNvPr>
        <xdr:cNvGrpSpPr/>
      </xdr:nvGrpSpPr>
      <xdr:grpSpPr>
        <a:xfrm>
          <a:off x="216952286" y="2567667"/>
          <a:ext cx="24974550" cy="2109107"/>
          <a:chOff x="152318357" y="2228850"/>
          <a:chExt cx="25894393" cy="1399494"/>
        </a:xfrm>
      </xdr:grpSpPr>
      <xdr:pic>
        <xdr:nvPicPr>
          <xdr:cNvPr id="19" name="Picture 14">
            <a:extLst>
              <a:ext uri="{FF2B5EF4-FFF2-40B4-BE49-F238E27FC236}">
                <a16:creationId xmlns:a16="http://schemas.microsoft.com/office/drawing/2014/main" id="{00000000-0008-0000-0000-000013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152318357" y="2247900"/>
            <a:ext cx="1733549" cy="1273306"/>
          </a:xfrm>
          <a:prstGeom prst="rect">
            <a:avLst/>
          </a:prstGeom>
          <a:noFill/>
        </xdr:spPr>
      </xdr:pic>
      <xdr:pic>
        <xdr:nvPicPr>
          <xdr:cNvPr id="20" name="Picture 16">
            <a:extLst>
              <a:ext uri="{FF2B5EF4-FFF2-40B4-BE49-F238E27FC236}">
                <a16:creationId xmlns:a16="http://schemas.microsoft.com/office/drawing/2014/main" id="{00000000-0008-0000-0000-000014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155809950" y="2247900"/>
            <a:ext cx="1733549" cy="1280002"/>
          </a:xfrm>
          <a:prstGeom prst="rect">
            <a:avLst/>
          </a:prstGeom>
          <a:noFill/>
        </xdr:spPr>
      </xdr:pic>
      <xdr:pic>
        <xdr:nvPicPr>
          <xdr:cNvPr id="21" name="Picture 18">
            <a:extLst>
              <a:ext uri="{FF2B5EF4-FFF2-40B4-BE49-F238E27FC236}">
                <a16:creationId xmlns:a16="http://schemas.microsoft.com/office/drawing/2014/main" id="{00000000-0008-0000-0000-000015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159238950" y="2228850"/>
            <a:ext cx="1733549" cy="1352622"/>
          </a:xfrm>
          <a:prstGeom prst="rect">
            <a:avLst/>
          </a:prstGeom>
          <a:noFill/>
        </xdr:spPr>
      </xdr:pic>
      <xdr:pic>
        <xdr:nvPicPr>
          <xdr:cNvPr id="22" name="Picture 20">
            <a:extLst>
              <a:ext uri="{FF2B5EF4-FFF2-40B4-BE49-F238E27FC236}">
                <a16:creationId xmlns:a16="http://schemas.microsoft.com/office/drawing/2014/main" id="{00000000-0008-0000-0000-000016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/>
          <a:srcRect/>
          <a:stretch>
            <a:fillRect/>
          </a:stretch>
        </xdr:blipFill>
        <xdr:spPr bwMode="auto">
          <a:xfrm>
            <a:off x="162842120" y="2247900"/>
            <a:ext cx="1733549" cy="1346964"/>
          </a:xfrm>
          <a:prstGeom prst="rect">
            <a:avLst/>
          </a:prstGeom>
          <a:noFill/>
        </xdr:spPr>
      </xdr:pic>
      <xdr:pic>
        <xdr:nvPicPr>
          <xdr:cNvPr id="23" name="Picture 22">
            <a:extLst>
              <a:ext uri="{FF2B5EF4-FFF2-40B4-BE49-F238E27FC236}">
                <a16:creationId xmlns:a16="http://schemas.microsoft.com/office/drawing/2014/main" id="{00000000-0008-0000-0000-000017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/>
          <a:srcRect/>
          <a:stretch>
            <a:fillRect/>
          </a:stretch>
        </xdr:blipFill>
        <xdr:spPr bwMode="auto">
          <a:xfrm>
            <a:off x="166254792" y="2247900"/>
            <a:ext cx="1733549" cy="1333572"/>
          </a:xfrm>
          <a:prstGeom prst="rect">
            <a:avLst/>
          </a:prstGeom>
          <a:noFill/>
        </xdr:spPr>
      </xdr:pic>
      <xdr:pic>
        <xdr:nvPicPr>
          <xdr:cNvPr id="24" name="Picture 24">
            <a:extLst>
              <a:ext uri="{FF2B5EF4-FFF2-40B4-BE49-F238E27FC236}">
                <a16:creationId xmlns:a16="http://schemas.microsoft.com/office/drawing/2014/main" id="{00000000-0008-0000-0000-000018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/>
          <a:srcRect/>
          <a:stretch>
            <a:fillRect/>
          </a:stretch>
        </xdr:blipFill>
        <xdr:spPr bwMode="auto">
          <a:xfrm>
            <a:off x="169561327" y="2266950"/>
            <a:ext cx="1733549" cy="1301129"/>
          </a:xfrm>
          <a:prstGeom prst="rect">
            <a:avLst/>
          </a:prstGeom>
          <a:noFill/>
        </xdr:spPr>
      </xdr:pic>
      <xdr:pic>
        <xdr:nvPicPr>
          <xdr:cNvPr id="25" name="Picture 26">
            <a:extLst>
              <a:ext uri="{FF2B5EF4-FFF2-40B4-BE49-F238E27FC236}">
                <a16:creationId xmlns:a16="http://schemas.microsoft.com/office/drawing/2014/main" id="{00000000-0008-0000-0000-00001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 cstate="print"/>
          <a:srcRect/>
          <a:stretch>
            <a:fillRect/>
          </a:stretch>
        </xdr:blipFill>
        <xdr:spPr bwMode="auto">
          <a:xfrm>
            <a:off x="173183550" y="2266950"/>
            <a:ext cx="1733549" cy="1361394"/>
          </a:xfrm>
          <a:prstGeom prst="rect">
            <a:avLst/>
          </a:prstGeom>
          <a:noFill/>
        </xdr:spPr>
      </xdr:pic>
      <xdr:pic>
        <xdr:nvPicPr>
          <xdr:cNvPr id="26" name="Picture 28">
            <a:extLst>
              <a:ext uri="{FF2B5EF4-FFF2-40B4-BE49-F238E27FC236}">
                <a16:creationId xmlns:a16="http://schemas.microsoft.com/office/drawing/2014/main" id="{00000000-0008-0000-0000-00001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" cstate="print"/>
          <a:srcRect/>
          <a:stretch>
            <a:fillRect/>
          </a:stretch>
        </xdr:blipFill>
        <xdr:spPr bwMode="auto">
          <a:xfrm>
            <a:off x="176479201" y="2247900"/>
            <a:ext cx="1733549" cy="134026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103</xdr:col>
      <xdr:colOff>396875</xdr:colOff>
      <xdr:row>7</xdr:row>
      <xdr:rowOff>1341437</xdr:rowOff>
    </xdr:from>
    <xdr:to>
      <xdr:col>103</xdr:col>
      <xdr:colOff>396875</xdr:colOff>
      <xdr:row>14</xdr:row>
      <xdr:rowOff>165284</xdr:rowOff>
    </xdr:to>
    <xdr:pic>
      <xdr:nvPicPr>
        <xdr:cNvPr id="27" name="Picture 2">
          <a:extLst>
            <a:ext uri="{FF2B5EF4-FFF2-40B4-BE49-F238E27FC236}">
              <a16:creationId xmlns:a16="http://schemas.microsoft.com/office/drawing/2014/main" id="{00000000-0008-0000-0000-00001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3258125" y="3541712"/>
          <a:ext cx="720000" cy="4367625"/>
        </a:xfrm>
        <a:prstGeom prst="rect">
          <a:avLst/>
        </a:prstGeom>
        <a:noFill/>
      </xdr:spPr>
    </xdr:pic>
    <xdr:clientData/>
  </xdr:twoCellAnchor>
  <xdr:twoCellAnchor editAs="oneCell">
    <xdr:from>
      <xdr:col>187</xdr:col>
      <xdr:colOff>392911</xdr:colOff>
      <xdr:row>7</xdr:row>
      <xdr:rowOff>1333498</xdr:rowOff>
    </xdr:from>
    <xdr:to>
      <xdr:col>187</xdr:col>
      <xdr:colOff>392911</xdr:colOff>
      <xdr:row>14</xdr:row>
      <xdr:rowOff>147820</xdr:rowOff>
    </xdr:to>
    <xdr:pic>
      <xdr:nvPicPr>
        <xdr:cNvPr id="28" name="Picture 2">
          <a:extLst>
            <a:ext uri="{FF2B5EF4-FFF2-40B4-BE49-F238E27FC236}">
              <a16:creationId xmlns:a16="http://schemas.microsoft.com/office/drawing/2014/main" id="{00000000-0008-0000-0000-00001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77593036" y="3533773"/>
          <a:ext cx="720000" cy="4367625"/>
        </a:xfrm>
        <a:prstGeom prst="rect">
          <a:avLst/>
        </a:prstGeom>
        <a:noFill/>
      </xdr:spPr>
    </xdr:pic>
    <xdr:clientData/>
  </xdr:twoCellAnchor>
  <xdr:twoCellAnchor editAs="oneCell">
    <xdr:from>
      <xdr:col>615</xdr:col>
      <xdr:colOff>367395</xdr:colOff>
      <xdr:row>7</xdr:row>
      <xdr:rowOff>1360711</xdr:rowOff>
    </xdr:from>
    <xdr:to>
      <xdr:col>615</xdr:col>
      <xdr:colOff>367395</xdr:colOff>
      <xdr:row>14</xdr:row>
      <xdr:rowOff>184558</xdr:rowOff>
    </xdr:to>
    <xdr:pic>
      <xdr:nvPicPr>
        <xdr:cNvPr id="29" name="Picture 2">
          <a:extLst>
            <a:ext uri="{FF2B5EF4-FFF2-40B4-BE49-F238E27FC236}">
              <a16:creationId xmlns:a16="http://schemas.microsoft.com/office/drawing/2014/main" id="{00000000-0008-0000-0000-00001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86653770" y="3560986"/>
          <a:ext cx="720000" cy="4367625"/>
        </a:xfrm>
        <a:prstGeom prst="rect">
          <a:avLst/>
        </a:prstGeom>
        <a:noFill/>
      </xdr:spPr>
    </xdr:pic>
    <xdr:clientData/>
  </xdr:twoCellAnchor>
  <xdr:twoCellAnchor>
    <xdr:from>
      <xdr:col>0</xdr:col>
      <xdr:colOff>40821</xdr:colOff>
      <xdr:row>7</xdr:row>
      <xdr:rowOff>0</xdr:rowOff>
    </xdr:from>
    <xdr:to>
      <xdr:col>0</xdr:col>
      <xdr:colOff>2020821</xdr:colOff>
      <xdr:row>7</xdr:row>
      <xdr:rowOff>1975464</xdr:rowOff>
    </xdr:to>
    <xdr:pic>
      <xdr:nvPicPr>
        <xdr:cNvPr id="30" name="Picture 1" descr="LOGO CLAN">
          <a:extLst>
            <a:ext uri="{FF2B5EF4-FFF2-40B4-BE49-F238E27FC236}">
              <a16:creationId xmlns:a16="http://schemas.microsoft.com/office/drawing/2014/main" id="{00000000-0008-0000-0000-00001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1421946" y="2200275"/>
          <a:ext cx="1980000" cy="19754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105</xdr:col>
      <xdr:colOff>40821</xdr:colOff>
      <xdr:row>7</xdr:row>
      <xdr:rowOff>0</xdr:rowOff>
    </xdr:from>
    <xdr:to>
      <xdr:col>105</xdr:col>
      <xdr:colOff>2020821</xdr:colOff>
      <xdr:row>7</xdr:row>
      <xdr:rowOff>1975464</xdr:rowOff>
    </xdr:to>
    <xdr:pic>
      <xdr:nvPicPr>
        <xdr:cNvPr id="31" name="Picture 1" descr="LOGO CLAN">
          <a:extLst>
            <a:ext uri="{FF2B5EF4-FFF2-40B4-BE49-F238E27FC236}">
              <a16:creationId xmlns:a16="http://schemas.microsoft.com/office/drawing/2014/main" id="{00000000-0008-0000-0000-00001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35664321" y="2200275"/>
          <a:ext cx="1980000" cy="19754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189</xdr:col>
      <xdr:colOff>40821</xdr:colOff>
      <xdr:row>7</xdr:row>
      <xdr:rowOff>0</xdr:rowOff>
    </xdr:from>
    <xdr:to>
      <xdr:col>189</xdr:col>
      <xdr:colOff>2020821</xdr:colOff>
      <xdr:row>7</xdr:row>
      <xdr:rowOff>1975464</xdr:rowOff>
    </xdr:to>
    <xdr:pic>
      <xdr:nvPicPr>
        <xdr:cNvPr id="32" name="Picture 1" descr="LOGO CLAN">
          <a:extLst>
            <a:ext uri="{FF2B5EF4-FFF2-40B4-BE49-F238E27FC236}">
              <a16:creationId xmlns:a16="http://schemas.microsoft.com/office/drawing/2014/main" id="{00000000-0008-0000-0000-00002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80003196" y="2200275"/>
          <a:ext cx="1980000" cy="19754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614</xdr:col>
      <xdr:colOff>27214</xdr:colOff>
      <xdr:row>6</xdr:row>
      <xdr:rowOff>27214</xdr:rowOff>
    </xdr:from>
    <xdr:to>
      <xdr:col>614</xdr:col>
      <xdr:colOff>1035214</xdr:colOff>
      <xdr:row>7</xdr:row>
      <xdr:rowOff>722250</xdr:rowOff>
    </xdr:to>
    <xdr:pic>
      <xdr:nvPicPr>
        <xdr:cNvPr id="33" name="Picture 2">
          <a:extLst>
            <a:ext uri="{FF2B5EF4-FFF2-40B4-BE49-F238E27FC236}">
              <a16:creationId xmlns:a16="http://schemas.microsoft.com/office/drawing/2014/main" id="{00000000-0008-0000-0000-00002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85265839" y="1913164"/>
          <a:ext cx="1008000" cy="1009361"/>
        </a:xfrm>
        <a:prstGeom prst="rect">
          <a:avLst/>
        </a:prstGeom>
        <a:noFill/>
      </xdr:spPr>
    </xdr:pic>
    <xdr:clientData/>
  </xdr:twoCellAnchor>
  <xdr:twoCellAnchor editAs="oneCell">
    <xdr:from>
      <xdr:col>103</xdr:col>
      <xdr:colOff>396875</xdr:colOff>
      <xdr:row>7</xdr:row>
      <xdr:rowOff>1341437</xdr:rowOff>
    </xdr:from>
    <xdr:to>
      <xdr:col>103</xdr:col>
      <xdr:colOff>396875</xdr:colOff>
      <xdr:row>14</xdr:row>
      <xdr:rowOff>165284</xdr:rowOff>
    </xdr:to>
    <xdr:pic>
      <xdr:nvPicPr>
        <xdr:cNvPr id="34" name="Picture 2">
          <a:extLst>
            <a:ext uri="{FF2B5EF4-FFF2-40B4-BE49-F238E27FC236}">
              <a16:creationId xmlns:a16="http://schemas.microsoft.com/office/drawing/2014/main" id="{00000000-0008-0000-0000-00002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3258125" y="3541712"/>
          <a:ext cx="720000" cy="4367625"/>
        </a:xfrm>
        <a:prstGeom prst="rect">
          <a:avLst/>
        </a:prstGeom>
        <a:noFill/>
      </xdr:spPr>
    </xdr:pic>
    <xdr:clientData/>
  </xdr:twoCellAnchor>
  <xdr:twoCellAnchor editAs="oneCell">
    <xdr:from>
      <xdr:col>187</xdr:col>
      <xdr:colOff>392911</xdr:colOff>
      <xdr:row>7</xdr:row>
      <xdr:rowOff>1333498</xdr:rowOff>
    </xdr:from>
    <xdr:to>
      <xdr:col>187</xdr:col>
      <xdr:colOff>392911</xdr:colOff>
      <xdr:row>14</xdr:row>
      <xdr:rowOff>147820</xdr:rowOff>
    </xdr:to>
    <xdr:pic>
      <xdr:nvPicPr>
        <xdr:cNvPr id="35" name="Picture 2">
          <a:extLst>
            <a:ext uri="{FF2B5EF4-FFF2-40B4-BE49-F238E27FC236}">
              <a16:creationId xmlns:a16="http://schemas.microsoft.com/office/drawing/2014/main" id="{00000000-0008-0000-0000-00002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77593036" y="3533773"/>
          <a:ext cx="720000" cy="4367625"/>
        </a:xfrm>
        <a:prstGeom prst="rect">
          <a:avLst/>
        </a:prstGeom>
        <a:noFill/>
      </xdr:spPr>
    </xdr:pic>
    <xdr:clientData/>
  </xdr:twoCellAnchor>
  <xdr:twoCellAnchor editAs="oneCell">
    <xdr:from>
      <xdr:col>615</xdr:col>
      <xdr:colOff>367395</xdr:colOff>
      <xdr:row>7</xdr:row>
      <xdr:rowOff>1360711</xdr:rowOff>
    </xdr:from>
    <xdr:to>
      <xdr:col>615</xdr:col>
      <xdr:colOff>367395</xdr:colOff>
      <xdr:row>14</xdr:row>
      <xdr:rowOff>184558</xdr:rowOff>
    </xdr:to>
    <xdr:pic>
      <xdr:nvPicPr>
        <xdr:cNvPr id="36" name="Picture 2">
          <a:extLst>
            <a:ext uri="{FF2B5EF4-FFF2-40B4-BE49-F238E27FC236}">
              <a16:creationId xmlns:a16="http://schemas.microsoft.com/office/drawing/2014/main" id="{00000000-0008-0000-0000-00002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86653770" y="3560986"/>
          <a:ext cx="720000" cy="4367625"/>
        </a:xfrm>
        <a:prstGeom prst="rect">
          <a:avLst/>
        </a:prstGeom>
        <a:noFill/>
      </xdr:spPr>
    </xdr:pic>
    <xdr:clientData/>
  </xdr:twoCellAnchor>
  <xdr:oneCellAnchor>
    <xdr:from>
      <xdr:col>78</xdr:col>
      <xdr:colOff>343348</xdr:colOff>
      <xdr:row>6</xdr:row>
      <xdr:rowOff>3174</xdr:rowOff>
    </xdr:from>
    <xdr:ext cx="0" cy="374561"/>
    <xdr:pic>
      <xdr:nvPicPr>
        <xdr:cNvPr id="37" name="Picture 4">
          <a:extLst>
            <a:ext uri="{FF2B5EF4-FFF2-40B4-BE49-F238E27FC236}">
              <a16:creationId xmlns:a16="http://schemas.microsoft.com/office/drawing/2014/main" id="{00000000-0008-0000-0000-00002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5060723" y="2193924"/>
          <a:ext cx="0" cy="374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90</xdr:col>
      <xdr:colOff>343348</xdr:colOff>
      <xdr:row>6</xdr:row>
      <xdr:rowOff>3174</xdr:rowOff>
    </xdr:from>
    <xdr:ext cx="0" cy="374561"/>
    <xdr:pic>
      <xdr:nvPicPr>
        <xdr:cNvPr id="38" name="Picture 4">
          <a:extLst>
            <a:ext uri="{FF2B5EF4-FFF2-40B4-BE49-F238E27FC236}">
              <a16:creationId xmlns:a16="http://schemas.microsoft.com/office/drawing/2014/main" id="{00000000-0008-0000-0000-00002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9632723" y="2193924"/>
          <a:ext cx="0" cy="374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102</xdr:col>
      <xdr:colOff>343348</xdr:colOff>
      <xdr:row>6</xdr:row>
      <xdr:rowOff>3174</xdr:rowOff>
    </xdr:from>
    <xdr:ext cx="0" cy="374561"/>
    <xdr:pic>
      <xdr:nvPicPr>
        <xdr:cNvPr id="39" name="Picture 4">
          <a:extLst>
            <a:ext uri="{FF2B5EF4-FFF2-40B4-BE49-F238E27FC236}">
              <a16:creationId xmlns:a16="http://schemas.microsoft.com/office/drawing/2014/main" id="{00000000-0008-0000-0000-00002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4204723" y="2193924"/>
          <a:ext cx="0" cy="374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198</xdr:col>
      <xdr:colOff>13607</xdr:colOff>
      <xdr:row>7</xdr:row>
      <xdr:rowOff>27214</xdr:rowOff>
    </xdr:from>
    <xdr:to>
      <xdr:col>198</xdr:col>
      <xdr:colOff>1021607</xdr:colOff>
      <xdr:row>7</xdr:row>
      <xdr:rowOff>1035214</xdr:rowOff>
    </xdr:to>
    <xdr:pic>
      <xdr:nvPicPr>
        <xdr:cNvPr id="40" name="Picture 2">
          <a:extLst>
            <a:ext uri="{FF2B5EF4-FFF2-40B4-BE49-F238E27FC236}">
              <a16:creationId xmlns:a16="http://schemas.microsoft.com/office/drawing/2014/main" id="{00000000-0008-0000-0100-00002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83528807" y="2589439"/>
          <a:ext cx="1008000" cy="1008000"/>
        </a:xfrm>
        <a:prstGeom prst="rect">
          <a:avLst/>
        </a:prstGeom>
        <a:noFill/>
      </xdr:spPr>
    </xdr:pic>
    <xdr:clientData/>
  </xdr:twoCellAnchor>
  <xdr:twoCellAnchor>
    <xdr:from>
      <xdr:col>613</xdr:col>
      <xdr:colOff>46265</xdr:colOff>
      <xdr:row>6</xdr:row>
      <xdr:rowOff>0</xdr:rowOff>
    </xdr:from>
    <xdr:to>
      <xdr:col>613</xdr:col>
      <xdr:colOff>3358265</xdr:colOff>
      <xdr:row>15</xdr:row>
      <xdr:rowOff>285750</xdr:rowOff>
    </xdr:to>
    <xdr:sp macro="" textlink="">
      <xdr:nvSpPr>
        <xdr:cNvPr id="41" name="Text Box 3">
          <a:extLst>
            <a:ext uri="{FF2B5EF4-FFF2-40B4-BE49-F238E27FC236}">
              <a16:creationId xmlns:a16="http://schemas.microsoft.com/office/drawing/2014/main" id="{00000000-0008-0000-0100-000029000000}"/>
            </a:ext>
          </a:extLst>
        </xdr:cNvPr>
        <xdr:cNvSpPr txBox="1">
          <a:spLocks noChangeArrowheads="1"/>
        </xdr:cNvSpPr>
      </xdr:nvSpPr>
      <xdr:spPr bwMode="auto">
        <a:xfrm>
          <a:off x="381627290" y="2171700"/>
          <a:ext cx="3312000" cy="4162425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  <xdr:txBody>
        <a:bodyPr vertOverflow="clip" wrap="square" lIns="91440" tIns="45720" rIns="91440" bIns="45720" anchor="t" upright="1"/>
        <a:lstStyle/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NÚMERO DE CREDITOS REQUERIDOS PARA LA MÁXIMA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INSIGNIA:  </a:t>
          </a: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12 CREDITOS</a:t>
          </a: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A) CONVENIOS O ACUERDOS INSTITUCIONALES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(LINEAS INSTITUCIONALES DE SERVICIO) </a:t>
          </a:r>
        </a:p>
        <a:p>
          <a:pPr algn="ctr" rtl="1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4 CREDITOS / 6 MESES DE SERVICIO </a:t>
          </a:r>
          <a:endParaRPr lang="es-VE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B) CICLOS INSTITUCIONALES CON TRABAJOS EN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CONJUNTO CON LA COMUNIDAD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(50.000 HORAS DE SOLIDARIDAD, DÍA DE LAS AGUAS) </a:t>
          </a:r>
        </a:p>
        <a:p>
          <a:pPr algn="ctr" rtl="1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2 CREDITOS </a:t>
          </a:r>
          <a:endParaRPr lang="es-VE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C) CICLOS INSTITUCIONALES CON SERVICIO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(RALLY'S, CADIPAS, CAREPAS, JOTI) </a:t>
          </a:r>
        </a:p>
        <a:p>
          <a:pPr algn="ctr" rtl="1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1 CREDITO </a:t>
          </a:r>
          <a:endParaRPr lang="es-VE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D) ACTIVIDADES CURRICULARES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(ASOCIACIÓN DE VECINOS, DELEGADO PREPARADOR) </a:t>
          </a:r>
        </a:p>
        <a:p>
          <a:pPr algn="ctr" rtl="1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3 CREDITOS / 6 MESES DE PARTICIPACIÓN </a:t>
          </a:r>
          <a:endParaRPr lang="es-VE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E) GENERALES POR INICIATIVA PROPIA O </a:t>
          </a: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REQUERIMIENTO DE COMUNIDAD </a:t>
          </a:r>
        </a:p>
        <a:p>
          <a:pPr algn="ctr" rtl="1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2 CREDITOS (PATRULLA) </a:t>
          </a:r>
          <a:endParaRPr lang="es-VE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1 CREDITO (UNIDAD, GRUPO, DISTRITO) </a:t>
          </a:r>
          <a:endParaRPr lang="es-VE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  <a:p>
          <a:pPr algn="ctr" rtl="1">
            <a:defRPr sz="1000"/>
          </a:pP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</a:t>
          </a:r>
        </a:p>
        <a:p>
          <a:pPr algn="ctr" rtl="1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PRIMERA CASILLA:</a:t>
          </a: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INDICAR LETRA Y FECHA (MES/AÑO) </a:t>
          </a:r>
        </a:p>
        <a:p>
          <a:pPr algn="ctr" rtl="1">
            <a:defRPr sz="1000"/>
          </a:pPr>
          <a:r>
            <a:rPr lang="es-VE" sz="1200" b="1" i="0" strike="noStrike">
              <a:solidFill>
                <a:srgbClr val="000000"/>
              </a:solidFill>
              <a:latin typeface="Times New Roman"/>
              <a:cs typeface="Times New Roman"/>
            </a:rPr>
            <a:t>SEGUNDA CASILLA:</a:t>
          </a:r>
          <a:r>
            <a:rPr lang="es-VE" sz="1200" b="0" i="0" strike="noStrike">
              <a:solidFill>
                <a:srgbClr val="000000"/>
              </a:solidFill>
              <a:latin typeface="Times New Roman"/>
              <a:cs typeface="Times New Roman"/>
            </a:rPr>
            <a:t> INDICAR VALOR </a:t>
          </a:r>
        </a:p>
        <a:p>
          <a:pPr algn="ctr" rtl="1">
            <a:defRPr sz="1000"/>
          </a:pPr>
          <a:endParaRPr lang="es-VE" sz="1200" b="0" i="0" strike="noStrike">
            <a:solidFill>
              <a:srgbClr val="000000"/>
            </a:solidFill>
            <a:latin typeface="Times New Roman"/>
            <a:cs typeface="Times New Roman"/>
          </a:endParaRPr>
        </a:p>
      </xdr:txBody>
    </xdr:sp>
    <xdr:clientData/>
  </xdr:twoCellAnchor>
  <xdr:twoCellAnchor editAs="oneCell">
    <xdr:from>
      <xdr:col>66</xdr:col>
      <xdr:colOff>343348</xdr:colOff>
      <xdr:row>6</xdr:row>
      <xdr:rowOff>3174</xdr:rowOff>
    </xdr:from>
    <xdr:to>
      <xdr:col>66</xdr:col>
      <xdr:colOff>343348</xdr:colOff>
      <xdr:row>6</xdr:row>
      <xdr:rowOff>187235</xdr:rowOff>
    </xdr:to>
    <xdr:pic>
      <xdr:nvPicPr>
        <xdr:cNvPr id="42" name="Picture 4">
          <a:extLst>
            <a:ext uri="{FF2B5EF4-FFF2-40B4-BE49-F238E27FC236}">
              <a16:creationId xmlns:a16="http://schemas.microsoft.com/office/drawing/2014/main" id="{00000000-0008-0000-0100-00002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26117998" y="2174874"/>
          <a:ext cx="0" cy="374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199</xdr:col>
      <xdr:colOff>4536</xdr:colOff>
      <xdr:row>6</xdr:row>
      <xdr:rowOff>0</xdr:rowOff>
    </xdr:from>
    <xdr:to>
      <xdr:col>199</xdr:col>
      <xdr:colOff>4536</xdr:colOff>
      <xdr:row>7</xdr:row>
      <xdr:rowOff>3086</xdr:rowOff>
    </xdr:to>
    <xdr:pic>
      <xdr:nvPicPr>
        <xdr:cNvPr id="43" name="Picture 4">
          <a:extLst>
            <a:ext uri="{FF2B5EF4-FFF2-40B4-BE49-F238E27FC236}">
              <a16:creationId xmlns:a16="http://schemas.microsoft.com/office/drawing/2014/main" id="{00000000-0008-0000-0100-00002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84567486" y="2171700"/>
          <a:ext cx="0" cy="39361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626</xdr:col>
      <xdr:colOff>1009650</xdr:colOff>
      <xdr:row>5</xdr:row>
      <xdr:rowOff>304800</xdr:rowOff>
    </xdr:from>
    <xdr:to>
      <xdr:col>626</xdr:col>
      <xdr:colOff>1009650</xdr:colOff>
      <xdr:row>7</xdr:row>
      <xdr:rowOff>3086</xdr:rowOff>
    </xdr:to>
    <xdr:pic>
      <xdr:nvPicPr>
        <xdr:cNvPr id="44" name="Picture 4">
          <a:extLst>
            <a:ext uri="{FF2B5EF4-FFF2-40B4-BE49-F238E27FC236}">
              <a16:creationId xmlns:a16="http://schemas.microsoft.com/office/drawing/2014/main" id="{00000000-0008-0000-0100-00002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4211175" y="2085975"/>
          <a:ext cx="0" cy="384086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183</xdr:col>
      <xdr:colOff>11206</xdr:colOff>
      <xdr:row>7</xdr:row>
      <xdr:rowOff>11206</xdr:rowOff>
    </xdr:from>
    <xdr:to>
      <xdr:col>183</xdr:col>
      <xdr:colOff>11206</xdr:colOff>
      <xdr:row>8</xdr:row>
      <xdr:rowOff>0</xdr:rowOff>
    </xdr:to>
    <xdr:pic>
      <xdr:nvPicPr>
        <xdr:cNvPr id="45" name="Picture 4">
          <a:extLst>
            <a:ext uri="{FF2B5EF4-FFF2-40B4-BE49-F238E27FC236}">
              <a16:creationId xmlns:a16="http://schemas.microsoft.com/office/drawing/2014/main" id="{00000000-0008-0000-0100-00002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77144656" y="2573431"/>
          <a:ext cx="0" cy="179325"/>
        </a:xfrm>
        <a:prstGeom prst="rect">
          <a:avLst/>
        </a:prstGeom>
        <a:noFill/>
      </xdr:spPr>
    </xdr:pic>
    <xdr:clientData/>
  </xdr:twoCellAnchor>
  <xdr:twoCellAnchor editAs="oneCell">
    <xdr:from>
      <xdr:col>166</xdr:col>
      <xdr:colOff>11206</xdr:colOff>
      <xdr:row>7</xdr:row>
      <xdr:rowOff>11206</xdr:rowOff>
    </xdr:from>
    <xdr:to>
      <xdr:col>166</xdr:col>
      <xdr:colOff>11206</xdr:colOff>
      <xdr:row>8</xdr:row>
      <xdr:rowOff>0</xdr:rowOff>
    </xdr:to>
    <xdr:pic>
      <xdr:nvPicPr>
        <xdr:cNvPr id="46" name="Picture 6">
          <a:extLst>
            <a:ext uri="{FF2B5EF4-FFF2-40B4-BE49-F238E27FC236}">
              <a16:creationId xmlns:a16="http://schemas.microsoft.com/office/drawing/2014/main" id="{00000000-0008-0000-0100-00002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70000906" y="2573431"/>
          <a:ext cx="0" cy="179325"/>
        </a:xfrm>
        <a:prstGeom prst="rect">
          <a:avLst/>
        </a:prstGeom>
        <a:noFill/>
      </xdr:spPr>
    </xdr:pic>
    <xdr:clientData/>
  </xdr:twoCellAnchor>
  <xdr:twoCellAnchor editAs="oneCell">
    <xdr:from>
      <xdr:col>150</xdr:col>
      <xdr:colOff>11206</xdr:colOff>
      <xdr:row>7</xdr:row>
      <xdr:rowOff>11206</xdr:rowOff>
    </xdr:from>
    <xdr:to>
      <xdr:col>150</xdr:col>
      <xdr:colOff>11206</xdr:colOff>
      <xdr:row>8</xdr:row>
      <xdr:rowOff>0</xdr:rowOff>
    </xdr:to>
    <xdr:pic>
      <xdr:nvPicPr>
        <xdr:cNvPr id="47" name="Picture 8">
          <a:extLst>
            <a:ext uri="{FF2B5EF4-FFF2-40B4-BE49-F238E27FC236}">
              <a16:creationId xmlns:a16="http://schemas.microsoft.com/office/drawing/2014/main" id="{00000000-0008-0000-0100-00002F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5" cstate="print"/>
        <a:srcRect/>
        <a:stretch>
          <a:fillRect/>
        </a:stretch>
      </xdr:blipFill>
      <xdr:spPr bwMode="auto">
        <a:xfrm>
          <a:off x="63238156" y="2573431"/>
          <a:ext cx="0" cy="179325"/>
        </a:xfrm>
        <a:prstGeom prst="rect">
          <a:avLst/>
        </a:prstGeom>
        <a:noFill/>
      </xdr:spPr>
    </xdr:pic>
    <xdr:clientData/>
  </xdr:twoCellAnchor>
  <xdr:twoCellAnchor editAs="oneCell">
    <xdr:from>
      <xdr:col>134</xdr:col>
      <xdr:colOff>11206</xdr:colOff>
      <xdr:row>7</xdr:row>
      <xdr:rowOff>11206</xdr:rowOff>
    </xdr:from>
    <xdr:to>
      <xdr:col>134</xdr:col>
      <xdr:colOff>11206</xdr:colOff>
      <xdr:row>8</xdr:row>
      <xdr:rowOff>0</xdr:rowOff>
    </xdr:to>
    <xdr:pic>
      <xdr:nvPicPr>
        <xdr:cNvPr id="48" name="Picture 10">
          <a:extLst>
            <a:ext uri="{FF2B5EF4-FFF2-40B4-BE49-F238E27FC236}">
              <a16:creationId xmlns:a16="http://schemas.microsoft.com/office/drawing/2014/main" id="{00000000-0008-0000-0100-000030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6" cstate="print"/>
        <a:srcRect/>
        <a:stretch>
          <a:fillRect/>
        </a:stretch>
      </xdr:blipFill>
      <xdr:spPr bwMode="auto">
        <a:xfrm>
          <a:off x="56475406" y="2573431"/>
          <a:ext cx="0" cy="179325"/>
        </a:xfrm>
        <a:prstGeom prst="rect">
          <a:avLst/>
        </a:prstGeom>
        <a:noFill/>
      </xdr:spPr>
    </xdr:pic>
    <xdr:clientData/>
  </xdr:twoCellAnchor>
  <xdr:twoCellAnchor>
    <xdr:from>
      <xdr:col>21</xdr:col>
      <xdr:colOff>349250</xdr:colOff>
      <xdr:row>16</xdr:row>
      <xdr:rowOff>154826</xdr:rowOff>
    </xdr:from>
    <xdr:to>
      <xdr:col>62</xdr:col>
      <xdr:colOff>97678</xdr:colOff>
      <xdr:row>22</xdr:row>
      <xdr:rowOff>157388</xdr:rowOff>
    </xdr:to>
    <xdr:grpSp>
      <xdr:nvGrpSpPr>
        <xdr:cNvPr id="49" name="48 Grupo">
          <a:extLst>
            <a:ext uri="{FF2B5EF4-FFF2-40B4-BE49-F238E27FC236}">
              <a16:creationId xmlns:a16="http://schemas.microsoft.com/office/drawing/2014/main" id="{00000000-0008-0000-0100-000031000000}"/>
            </a:ext>
          </a:extLst>
        </xdr:cNvPr>
        <xdr:cNvGrpSpPr/>
      </xdr:nvGrpSpPr>
      <xdr:grpSpPr>
        <a:xfrm>
          <a:off x="9363710" y="6441326"/>
          <a:ext cx="15681848" cy="2273322"/>
          <a:chOff x="13412640" y="8523672"/>
          <a:chExt cx="16557252" cy="1899398"/>
        </a:xfrm>
      </xdr:grpSpPr>
      <xdr:pic>
        <xdr:nvPicPr>
          <xdr:cNvPr id="50" name="Picture 2">
            <a:extLst>
              <a:ext uri="{FF2B5EF4-FFF2-40B4-BE49-F238E27FC236}">
                <a16:creationId xmlns:a16="http://schemas.microsoft.com/office/drawing/2014/main" id="{00000000-0008-0000-0100-000032000000}"/>
              </a:ext>
            </a:extLst>
          </xdr:cNvPr>
          <xdr:cNvPicPr preferRelativeResize="0">
            <a:picLocks noChangeArrowheads="1"/>
          </xdr:cNvPicPr>
        </xdr:nvPicPr>
        <xdr:blipFill>
          <a:blip xmlns:r="http://schemas.openxmlformats.org/officeDocument/2006/relationships" r:embed="rId1" cstate="print"/>
          <a:srcRect/>
          <a:stretch>
            <a:fillRect/>
          </a:stretch>
        </xdr:blipFill>
        <xdr:spPr bwMode="auto">
          <a:xfrm>
            <a:off x="27989892" y="8542564"/>
            <a:ext cx="1980000" cy="1872000"/>
          </a:xfrm>
          <a:prstGeom prst="rect">
            <a:avLst/>
          </a:prstGeom>
          <a:noFill/>
        </xdr:spPr>
      </xdr:pic>
      <xdr:grpSp>
        <xdr:nvGrpSpPr>
          <xdr:cNvPr id="51" name="50 Grupo">
            <a:extLst>
              <a:ext uri="{FF2B5EF4-FFF2-40B4-BE49-F238E27FC236}">
                <a16:creationId xmlns:a16="http://schemas.microsoft.com/office/drawing/2014/main" id="{00000000-0008-0000-0100-000033000000}"/>
              </a:ext>
            </a:extLst>
          </xdr:cNvPr>
          <xdr:cNvGrpSpPr/>
        </xdr:nvGrpSpPr>
        <xdr:grpSpPr>
          <a:xfrm>
            <a:off x="13412640" y="8523672"/>
            <a:ext cx="12730238" cy="1899398"/>
            <a:chOff x="12348882" y="8852647"/>
            <a:chExt cx="12730238" cy="1925956"/>
          </a:xfrm>
        </xdr:grpSpPr>
        <xdr:pic>
          <xdr:nvPicPr>
            <xdr:cNvPr id="52" name="Picture 4">
              <a:extLst>
                <a:ext uri="{FF2B5EF4-FFF2-40B4-BE49-F238E27FC236}">
                  <a16:creationId xmlns:a16="http://schemas.microsoft.com/office/drawing/2014/main" id="{00000000-0008-0000-0100-000034000000}"/>
                </a:ext>
              </a:extLst>
            </xdr:cNvPr>
            <xdr:cNvPicPr preferRelativeResize="0">
              <a:picLocks noChangeArrowheads="1"/>
            </xdr:cNvPicPr>
          </xdr:nvPicPr>
          <xdr:blipFill>
            <a:blip xmlns:r="http://schemas.openxmlformats.org/officeDocument/2006/relationships" r:embed="rId3" cstate="print"/>
            <a:srcRect/>
            <a:stretch>
              <a:fillRect/>
            </a:stretch>
          </xdr:blipFill>
          <xdr:spPr bwMode="auto">
            <a:xfrm>
              <a:off x="23099120" y="8875057"/>
              <a:ext cx="1980000" cy="1903546"/>
            </a:xfrm>
            <a:prstGeom prst="rect">
              <a:avLst/>
            </a:prstGeom>
            <a:noFill/>
          </xdr:spPr>
        </xdr:pic>
        <xdr:pic>
          <xdr:nvPicPr>
            <xdr:cNvPr id="53" name="Picture 6">
              <a:extLst>
                <a:ext uri="{FF2B5EF4-FFF2-40B4-BE49-F238E27FC236}">
                  <a16:creationId xmlns:a16="http://schemas.microsoft.com/office/drawing/2014/main" id="{00000000-0008-0000-0100-000035000000}"/>
                </a:ext>
              </a:extLst>
            </xdr:cNvPr>
            <xdr:cNvPicPr preferRelativeResize="0">
              <a:picLocks noChangeArrowheads="1"/>
            </xdr:cNvPicPr>
          </xdr:nvPicPr>
          <xdr:blipFill>
            <a:blip xmlns:r="http://schemas.openxmlformats.org/officeDocument/2006/relationships" r:embed="rId4" cstate="print"/>
            <a:srcRect/>
            <a:stretch>
              <a:fillRect/>
            </a:stretch>
          </xdr:blipFill>
          <xdr:spPr bwMode="auto">
            <a:xfrm>
              <a:off x="19332057" y="8863852"/>
              <a:ext cx="1980000" cy="1903546"/>
            </a:xfrm>
            <a:prstGeom prst="rect">
              <a:avLst/>
            </a:prstGeom>
            <a:noFill/>
          </xdr:spPr>
        </xdr:pic>
        <xdr:pic>
          <xdr:nvPicPr>
            <xdr:cNvPr id="54" name="Picture 8">
              <a:extLst>
                <a:ext uri="{FF2B5EF4-FFF2-40B4-BE49-F238E27FC236}">
                  <a16:creationId xmlns:a16="http://schemas.microsoft.com/office/drawing/2014/main" id="{00000000-0008-0000-0100-000036000000}"/>
                </a:ext>
              </a:extLst>
            </xdr:cNvPr>
            <xdr:cNvPicPr preferRelativeResize="0">
              <a:picLocks noChangeArrowheads="1"/>
            </xdr:cNvPicPr>
          </xdr:nvPicPr>
          <xdr:blipFill>
            <a:blip xmlns:r="http://schemas.openxmlformats.org/officeDocument/2006/relationships" r:embed="rId5" cstate="print"/>
            <a:srcRect/>
            <a:stretch>
              <a:fillRect/>
            </a:stretch>
          </xdr:blipFill>
          <xdr:spPr bwMode="auto">
            <a:xfrm>
              <a:off x="15884360" y="8852647"/>
              <a:ext cx="1980000" cy="1903546"/>
            </a:xfrm>
            <a:prstGeom prst="rect">
              <a:avLst/>
            </a:prstGeom>
            <a:noFill/>
          </xdr:spPr>
        </xdr:pic>
        <xdr:pic>
          <xdr:nvPicPr>
            <xdr:cNvPr id="55" name="Picture 10">
              <a:extLst>
                <a:ext uri="{FF2B5EF4-FFF2-40B4-BE49-F238E27FC236}">
                  <a16:creationId xmlns:a16="http://schemas.microsoft.com/office/drawing/2014/main" id="{00000000-0008-0000-0100-000037000000}"/>
                </a:ext>
              </a:extLst>
            </xdr:cNvPr>
            <xdr:cNvPicPr preferRelativeResize="0">
              <a:picLocks noChangeArrowheads="1"/>
            </xdr:cNvPicPr>
          </xdr:nvPicPr>
          <xdr:blipFill>
            <a:blip xmlns:r="http://schemas.openxmlformats.org/officeDocument/2006/relationships" r:embed="rId6" cstate="print"/>
            <a:srcRect/>
            <a:stretch>
              <a:fillRect/>
            </a:stretch>
          </xdr:blipFill>
          <xdr:spPr bwMode="auto">
            <a:xfrm>
              <a:off x="12348882" y="8852649"/>
              <a:ext cx="1980000" cy="1903545"/>
            </a:xfrm>
            <a:prstGeom prst="rect">
              <a:avLst/>
            </a:prstGeom>
            <a:noFill/>
          </xdr:spPr>
        </xdr:pic>
      </xdr:grpSp>
    </xdr:grpSp>
    <xdr:clientData/>
  </xdr:twoCellAnchor>
  <xdr:twoCellAnchor>
    <xdr:from>
      <xdr:col>437</xdr:col>
      <xdr:colOff>666750</xdr:colOff>
      <xdr:row>6</xdr:row>
      <xdr:rowOff>190499</xdr:rowOff>
    </xdr:from>
    <xdr:to>
      <xdr:col>452</xdr:col>
      <xdr:colOff>0</xdr:colOff>
      <xdr:row>7</xdr:row>
      <xdr:rowOff>190499</xdr:rowOff>
    </xdr:to>
    <xdr:grpSp>
      <xdr:nvGrpSpPr>
        <xdr:cNvPr id="56" name="55 Grupo">
          <a:extLst>
            <a:ext uri="{FF2B5EF4-FFF2-40B4-BE49-F238E27FC236}">
              <a16:creationId xmlns:a16="http://schemas.microsoft.com/office/drawing/2014/main" id="{00000000-0008-0000-0100-000038000000}"/>
            </a:ext>
          </a:extLst>
        </xdr:cNvPr>
        <xdr:cNvGrpSpPr/>
      </xdr:nvGrpSpPr>
      <xdr:grpSpPr>
        <a:xfrm>
          <a:off x="218834970" y="2346959"/>
          <a:ext cx="27108150" cy="388620"/>
          <a:chOff x="152318357" y="2228850"/>
          <a:chExt cx="25894393" cy="1399494"/>
        </a:xfrm>
      </xdr:grpSpPr>
      <xdr:pic>
        <xdr:nvPicPr>
          <xdr:cNvPr id="57" name="Picture 14">
            <a:extLst>
              <a:ext uri="{FF2B5EF4-FFF2-40B4-BE49-F238E27FC236}">
                <a16:creationId xmlns:a16="http://schemas.microsoft.com/office/drawing/2014/main" id="{00000000-0008-0000-0100-000039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7" cstate="print"/>
          <a:srcRect/>
          <a:stretch>
            <a:fillRect/>
          </a:stretch>
        </xdr:blipFill>
        <xdr:spPr bwMode="auto">
          <a:xfrm>
            <a:off x="152318357" y="2247900"/>
            <a:ext cx="1733549" cy="1273306"/>
          </a:xfrm>
          <a:prstGeom prst="rect">
            <a:avLst/>
          </a:prstGeom>
          <a:noFill/>
        </xdr:spPr>
      </xdr:pic>
      <xdr:pic>
        <xdr:nvPicPr>
          <xdr:cNvPr id="58" name="Picture 16">
            <a:extLst>
              <a:ext uri="{FF2B5EF4-FFF2-40B4-BE49-F238E27FC236}">
                <a16:creationId xmlns:a16="http://schemas.microsoft.com/office/drawing/2014/main" id="{00000000-0008-0000-0100-00003A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8" cstate="print"/>
          <a:srcRect/>
          <a:stretch>
            <a:fillRect/>
          </a:stretch>
        </xdr:blipFill>
        <xdr:spPr bwMode="auto">
          <a:xfrm>
            <a:off x="155809950" y="2247900"/>
            <a:ext cx="1733549" cy="1280002"/>
          </a:xfrm>
          <a:prstGeom prst="rect">
            <a:avLst/>
          </a:prstGeom>
          <a:noFill/>
        </xdr:spPr>
      </xdr:pic>
      <xdr:pic>
        <xdr:nvPicPr>
          <xdr:cNvPr id="59" name="Picture 18">
            <a:extLst>
              <a:ext uri="{FF2B5EF4-FFF2-40B4-BE49-F238E27FC236}">
                <a16:creationId xmlns:a16="http://schemas.microsoft.com/office/drawing/2014/main" id="{00000000-0008-0000-0100-00003B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9" cstate="print"/>
          <a:srcRect/>
          <a:stretch>
            <a:fillRect/>
          </a:stretch>
        </xdr:blipFill>
        <xdr:spPr bwMode="auto">
          <a:xfrm>
            <a:off x="159238950" y="2228850"/>
            <a:ext cx="1733549" cy="1352622"/>
          </a:xfrm>
          <a:prstGeom prst="rect">
            <a:avLst/>
          </a:prstGeom>
          <a:noFill/>
        </xdr:spPr>
      </xdr:pic>
      <xdr:pic>
        <xdr:nvPicPr>
          <xdr:cNvPr id="60" name="Picture 20">
            <a:extLst>
              <a:ext uri="{FF2B5EF4-FFF2-40B4-BE49-F238E27FC236}">
                <a16:creationId xmlns:a16="http://schemas.microsoft.com/office/drawing/2014/main" id="{00000000-0008-0000-0100-00003C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0" cstate="print"/>
          <a:srcRect/>
          <a:stretch>
            <a:fillRect/>
          </a:stretch>
        </xdr:blipFill>
        <xdr:spPr bwMode="auto">
          <a:xfrm>
            <a:off x="162842120" y="2247900"/>
            <a:ext cx="1733549" cy="1346964"/>
          </a:xfrm>
          <a:prstGeom prst="rect">
            <a:avLst/>
          </a:prstGeom>
          <a:noFill/>
        </xdr:spPr>
      </xdr:pic>
      <xdr:pic>
        <xdr:nvPicPr>
          <xdr:cNvPr id="61" name="Picture 22">
            <a:extLst>
              <a:ext uri="{FF2B5EF4-FFF2-40B4-BE49-F238E27FC236}">
                <a16:creationId xmlns:a16="http://schemas.microsoft.com/office/drawing/2014/main" id="{00000000-0008-0000-0100-00003D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1" cstate="print"/>
          <a:srcRect/>
          <a:stretch>
            <a:fillRect/>
          </a:stretch>
        </xdr:blipFill>
        <xdr:spPr bwMode="auto">
          <a:xfrm>
            <a:off x="166254792" y="2247900"/>
            <a:ext cx="1733549" cy="1333572"/>
          </a:xfrm>
          <a:prstGeom prst="rect">
            <a:avLst/>
          </a:prstGeom>
          <a:noFill/>
        </xdr:spPr>
      </xdr:pic>
      <xdr:pic>
        <xdr:nvPicPr>
          <xdr:cNvPr id="62" name="Picture 24">
            <a:extLst>
              <a:ext uri="{FF2B5EF4-FFF2-40B4-BE49-F238E27FC236}">
                <a16:creationId xmlns:a16="http://schemas.microsoft.com/office/drawing/2014/main" id="{00000000-0008-0000-0100-00003E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2" cstate="print"/>
          <a:srcRect/>
          <a:stretch>
            <a:fillRect/>
          </a:stretch>
        </xdr:blipFill>
        <xdr:spPr bwMode="auto">
          <a:xfrm>
            <a:off x="169561327" y="2266950"/>
            <a:ext cx="1733549" cy="1301129"/>
          </a:xfrm>
          <a:prstGeom prst="rect">
            <a:avLst/>
          </a:prstGeom>
          <a:noFill/>
        </xdr:spPr>
      </xdr:pic>
      <xdr:pic>
        <xdr:nvPicPr>
          <xdr:cNvPr id="63" name="Picture 26">
            <a:extLst>
              <a:ext uri="{FF2B5EF4-FFF2-40B4-BE49-F238E27FC236}">
                <a16:creationId xmlns:a16="http://schemas.microsoft.com/office/drawing/2014/main" id="{00000000-0008-0000-0100-00003F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3" cstate="print"/>
          <a:srcRect/>
          <a:stretch>
            <a:fillRect/>
          </a:stretch>
        </xdr:blipFill>
        <xdr:spPr bwMode="auto">
          <a:xfrm>
            <a:off x="173183550" y="2266950"/>
            <a:ext cx="1733549" cy="1361394"/>
          </a:xfrm>
          <a:prstGeom prst="rect">
            <a:avLst/>
          </a:prstGeom>
          <a:noFill/>
        </xdr:spPr>
      </xdr:pic>
      <xdr:pic>
        <xdr:nvPicPr>
          <xdr:cNvPr id="64" name="Picture 28">
            <a:extLst>
              <a:ext uri="{FF2B5EF4-FFF2-40B4-BE49-F238E27FC236}">
                <a16:creationId xmlns:a16="http://schemas.microsoft.com/office/drawing/2014/main" id="{00000000-0008-0000-0100-000040000000}"/>
              </a:ext>
            </a:extLst>
          </xdr:cNvPr>
          <xdr:cNvPicPr>
            <a:picLocks noChangeAspect="1" noChangeArrowheads="1"/>
          </xdr:cNvPicPr>
        </xdr:nvPicPr>
        <xdr:blipFill>
          <a:blip xmlns:r="http://schemas.openxmlformats.org/officeDocument/2006/relationships" r:embed="rId14" cstate="print"/>
          <a:srcRect/>
          <a:stretch>
            <a:fillRect/>
          </a:stretch>
        </xdr:blipFill>
        <xdr:spPr bwMode="auto">
          <a:xfrm>
            <a:off x="176479201" y="2247900"/>
            <a:ext cx="1733549" cy="1340268"/>
          </a:xfrm>
          <a:prstGeom prst="rect">
            <a:avLst/>
          </a:prstGeom>
          <a:noFill/>
        </xdr:spPr>
      </xdr:pic>
    </xdr:grpSp>
    <xdr:clientData/>
  </xdr:twoCellAnchor>
  <xdr:twoCellAnchor editAs="oneCell">
    <xdr:from>
      <xdr:col>115</xdr:col>
      <xdr:colOff>396875</xdr:colOff>
      <xdr:row>7</xdr:row>
      <xdr:rowOff>1341437</xdr:rowOff>
    </xdr:from>
    <xdr:to>
      <xdr:col>115</xdr:col>
      <xdr:colOff>396875</xdr:colOff>
      <xdr:row>14</xdr:row>
      <xdr:rowOff>165284</xdr:rowOff>
    </xdr:to>
    <xdr:pic>
      <xdr:nvPicPr>
        <xdr:cNvPr id="65" name="Picture 2">
          <a:extLst>
            <a:ext uri="{FF2B5EF4-FFF2-40B4-BE49-F238E27FC236}">
              <a16:creationId xmlns:a16="http://schemas.microsoft.com/office/drawing/2014/main" id="{00000000-0008-0000-0100-000041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40268525" y="3903662"/>
          <a:ext cx="0" cy="2109972"/>
        </a:xfrm>
        <a:prstGeom prst="rect">
          <a:avLst/>
        </a:prstGeom>
        <a:noFill/>
      </xdr:spPr>
    </xdr:pic>
    <xdr:clientData/>
  </xdr:twoCellAnchor>
  <xdr:twoCellAnchor editAs="oneCell">
    <xdr:from>
      <xdr:col>199</xdr:col>
      <xdr:colOff>392911</xdr:colOff>
      <xdr:row>7</xdr:row>
      <xdr:rowOff>1333498</xdr:rowOff>
    </xdr:from>
    <xdr:to>
      <xdr:col>199</xdr:col>
      <xdr:colOff>392911</xdr:colOff>
      <xdr:row>14</xdr:row>
      <xdr:rowOff>147820</xdr:rowOff>
    </xdr:to>
    <xdr:pic>
      <xdr:nvPicPr>
        <xdr:cNvPr id="66" name="Picture 2">
          <a:extLst>
            <a:ext uri="{FF2B5EF4-FFF2-40B4-BE49-F238E27FC236}">
              <a16:creationId xmlns:a16="http://schemas.microsoft.com/office/drawing/2014/main" id="{00000000-0008-0000-0100-000042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84955861" y="3895723"/>
          <a:ext cx="0" cy="2100447"/>
        </a:xfrm>
        <a:prstGeom prst="rect">
          <a:avLst/>
        </a:prstGeom>
        <a:noFill/>
      </xdr:spPr>
    </xdr:pic>
    <xdr:clientData/>
  </xdr:twoCellAnchor>
  <xdr:twoCellAnchor editAs="oneCell">
    <xdr:from>
      <xdr:col>627</xdr:col>
      <xdr:colOff>367395</xdr:colOff>
      <xdr:row>7</xdr:row>
      <xdr:rowOff>1360711</xdr:rowOff>
    </xdr:from>
    <xdr:to>
      <xdr:col>627</xdr:col>
      <xdr:colOff>367395</xdr:colOff>
      <xdr:row>14</xdr:row>
      <xdr:rowOff>184558</xdr:rowOff>
    </xdr:to>
    <xdr:pic>
      <xdr:nvPicPr>
        <xdr:cNvPr id="67" name="Picture 2">
          <a:extLst>
            <a:ext uri="{FF2B5EF4-FFF2-40B4-BE49-F238E27FC236}">
              <a16:creationId xmlns:a16="http://schemas.microsoft.com/office/drawing/2014/main" id="{00000000-0008-0000-0100-000043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94616670" y="3922936"/>
          <a:ext cx="0" cy="2109972"/>
        </a:xfrm>
        <a:prstGeom prst="rect">
          <a:avLst/>
        </a:prstGeom>
        <a:noFill/>
      </xdr:spPr>
    </xdr:pic>
    <xdr:clientData/>
  </xdr:twoCellAnchor>
  <xdr:twoCellAnchor>
    <xdr:from>
      <xdr:col>0</xdr:col>
      <xdr:colOff>40821</xdr:colOff>
      <xdr:row>7</xdr:row>
      <xdr:rowOff>0</xdr:rowOff>
    </xdr:from>
    <xdr:to>
      <xdr:col>0</xdr:col>
      <xdr:colOff>2020821</xdr:colOff>
      <xdr:row>7</xdr:row>
      <xdr:rowOff>1975464</xdr:rowOff>
    </xdr:to>
    <xdr:pic>
      <xdr:nvPicPr>
        <xdr:cNvPr id="68" name="Picture 1" descr="LOGO CLAN">
          <a:extLst>
            <a:ext uri="{FF2B5EF4-FFF2-40B4-BE49-F238E27FC236}">
              <a16:creationId xmlns:a16="http://schemas.microsoft.com/office/drawing/2014/main" id="{00000000-0008-0000-0100-000044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40821" y="2562225"/>
          <a:ext cx="1980000" cy="19754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117</xdr:col>
      <xdr:colOff>40821</xdr:colOff>
      <xdr:row>7</xdr:row>
      <xdr:rowOff>0</xdr:rowOff>
    </xdr:from>
    <xdr:to>
      <xdr:col>117</xdr:col>
      <xdr:colOff>2020821</xdr:colOff>
      <xdr:row>7</xdr:row>
      <xdr:rowOff>1975464</xdr:rowOff>
    </xdr:to>
    <xdr:pic>
      <xdr:nvPicPr>
        <xdr:cNvPr id="69" name="Picture 1" descr="LOGO CLAN">
          <a:extLst>
            <a:ext uri="{FF2B5EF4-FFF2-40B4-BE49-F238E27FC236}">
              <a16:creationId xmlns:a16="http://schemas.microsoft.com/office/drawing/2014/main" id="{00000000-0008-0000-0100-000045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42674721" y="2562225"/>
          <a:ext cx="1980000" cy="19754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201</xdr:col>
      <xdr:colOff>40821</xdr:colOff>
      <xdr:row>7</xdr:row>
      <xdr:rowOff>0</xdr:rowOff>
    </xdr:from>
    <xdr:to>
      <xdr:col>201</xdr:col>
      <xdr:colOff>2020821</xdr:colOff>
      <xdr:row>7</xdr:row>
      <xdr:rowOff>1975464</xdr:rowOff>
    </xdr:to>
    <xdr:pic>
      <xdr:nvPicPr>
        <xdr:cNvPr id="70" name="Picture 1" descr="LOGO CLAN">
          <a:extLst>
            <a:ext uri="{FF2B5EF4-FFF2-40B4-BE49-F238E27FC236}">
              <a16:creationId xmlns:a16="http://schemas.microsoft.com/office/drawing/2014/main" id="{00000000-0008-0000-0100-000046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6" cstate="print"/>
        <a:srcRect/>
        <a:stretch>
          <a:fillRect/>
        </a:stretch>
      </xdr:blipFill>
      <xdr:spPr bwMode="auto">
        <a:xfrm>
          <a:off x="87366021" y="2562225"/>
          <a:ext cx="1980000" cy="1975464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626</xdr:col>
      <xdr:colOff>27214</xdr:colOff>
      <xdr:row>6</xdr:row>
      <xdr:rowOff>27214</xdr:rowOff>
    </xdr:from>
    <xdr:to>
      <xdr:col>626</xdr:col>
      <xdr:colOff>1035214</xdr:colOff>
      <xdr:row>7</xdr:row>
      <xdr:rowOff>722250</xdr:rowOff>
    </xdr:to>
    <xdr:pic>
      <xdr:nvPicPr>
        <xdr:cNvPr id="71" name="Picture 2">
          <a:extLst>
            <a:ext uri="{FF2B5EF4-FFF2-40B4-BE49-F238E27FC236}">
              <a16:creationId xmlns:a16="http://schemas.microsoft.com/office/drawing/2014/main" id="{00000000-0008-0000-0100-000047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393228739" y="2198914"/>
          <a:ext cx="1008000" cy="1085561"/>
        </a:xfrm>
        <a:prstGeom prst="rect">
          <a:avLst/>
        </a:prstGeom>
        <a:noFill/>
      </xdr:spPr>
    </xdr:pic>
    <xdr:clientData/>
  </xdr:twoCellAnchor>
  <xdr:twoCellAnchor editAs="oneCell">
    <xdr:from>
      <xdr:col>115</xdr:col>
      <xdr:colOff>396875</xdr:colOff>
      <xdr:row>7</xdr:row>
      <xdr:rowOff>1341437</xdr:rowOff>
    </xdr:from>
    <xdr:to>
      <xdr:col>115</xdr:col>
      <xdr:colOff>396875</xdr:colOff>
      <xdr:row>14</xdr:row>
      <xdr:rowOff>165284</xdr:rowOff>
    </xdr:to>
    <xdr:pic>
      <xdr:nvPicPr>
        <xdr:cNvPr id="72" name="Picture 2">
          <a:extLst>
            <a:ext uri="{FF2B5EF4-FFF2-40B4-BE49-F238E27FC236}">
              <a16:creationId xmlns:a16="http://schemas.microsoft.com/office/drawing/2014/main" id="{00000000-0008-0000-0100-000048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40268525" y="3903662"/>
          <a:ext cx="0" cy="2109972"/>
        </a:xfrm>
        <a:prstGeom prst="rect">
          <a:avLst/>
        </a:prstGeom>
        <a:noFill/>
      </xdr:spPr>
    </xdr:pic>
    <xdr:clientData/>
  </xdr:twoCellAnchor>
  <xdr:twoCellAnchor editAs="oneCell">
    <xdr:from>
      <xdr:col>199</xdr:col>
      <xdr:colOff>392911</xdr:colOff>
      <xdr:row>7</xdr:row>
      <xdr:rowOff>1333498</xdr:rowOff>
    </xdr:from>
    <xdr:to>
      <xdr:col>199</xdr:col>
      <xdr:colOff>392911</xdr:colOff>
      <xdr:row>14</xdr:row>
      <xdr:rowOff>147820</xdr:rowOff>
    </xdr:to>
    <xdr:pic>
      <xdr:nvPicPr>
        <xdr:cNvPr id="73" name="Picture 2">
          <a:extLst>
            <a:ext uri="{FF2B5EF4-FFF2-40B4-BE49-F238E27FC236}">
              <a16:creationId xmlns:a16="http://schemas.microsoft.com/office/drawing/2014/main" id="{00000000-0008-0000-0100-000049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84955861" y="3895723"/>
          <a:ext cx="0" cy="2100447"/>
        </a:xfrm>
        <a:prstGeom prst="rect">
          <a:avLst/>
        </a:prstGeom>
        <a:noFill/>
      </xdr:spPr>
    </xdr:pic>
    <xdr:clientData/>
  </xdr:twoCellAnchor>
  <xdr:twoCellAnchor editAs="oneCell">
    <xdr:from>
      <xdr:col>627</xdr:col>
      <xdr:colOff>367395</xdr:colOff>
      <xdr:row>7</xdr:row>
      <xdr:rowOff>1360711</xdr:rowOff>
    </xdr:from>
    <xdr:to>
      <xdr:col>627</xdr:col>
      <xdr:colOff>367395</xdr:colOff>
      <xdr:row>14</xdr:row>
      <xdr:rowOff>184558</xdr:rowOff>
    </xdr:to>
    <xdr:pic>
      <xdr:nvPicPr>
        <xdr:cNvPr id="74" name="Picture 2">
          <a:extLst>
            <a:ext uri="{FF2B5EF4-FFF2-40B4-BE49-F238E27FC236}">
              <a16:creationId xmlns:a16="http://schemas.microsoft.com/office/drawing/2014/main" id="{00000000-0008-0000-0100-00004A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15" cstate="print"/>
        <a:srcRect/>
        <a:stretch>
          <a:fillRect/>
        </a:stretch>
      </xdr:blipFill>
      <xdr:spPr bwMode="auto">
        <a:xfrm>
          <a:off x="394616670" y="3922936"/>
          <a:ext cx="0" cy="2109972"/>
        </a:xfrm>
        <a:prstGeom prst="rect">
          <a:avLst/>
        </a:prstGeom>
        <a:noFill/>
      </xdr:spPr>
    </xdr:pic>
    <xdr:clientData/>
  </xdr:twoCellAnchor>
  <xdr:oneCellAnchor>
    <xdr:from>
      <xdr:col>78</xdr:col>
      <xdr:colOff>343348</xdr:colOff>
      <xdr:row>6</xdr:row>
      <xdr:rowOff>3174</xdr:rowOff>
    </xdr:from>
    <xdr:ext cx="0" cy="374561"/>
    <xdr:pic>
      <xdr:nvPicPr>
        <xdr:cNvPr id="75" name="Picture 4">
          <a:extLst>
            <a:ext uri="{FF2B5EF4-FFF2-40B4-BE49-F238E27FC236}">
              <a16:creationId xmlns:a16="http://schemas.microsoft.com/office/drawing/2014/main" id="{00000000-0008-0000-0100-00004B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0689998" y="2174874"/>
          <a:ext cx="0" cy="374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90</xdr:col>
      <xdr:colOff>343348</xdr:colOff>
      <xdr:row>6</xdr:row>
      <xdr:rowOff>3174</xdr:rowOff>
    </xdr:from>
    <xdr:ext cx="0" cy="374561"/>
    <xdr:pic>
      <xdr:nvPicPr>
        <xdr:cNvPr id="76" name="Picture 4">
          <a:extLst>
            <a:ext uri="{FF2B5EF4-FFF2-40B4-BE49-F238E27FC236}">
              <a16:creationId xmlns:a16="http://schemas.microsoft.com/office/drawing/2014/main" id="{00000000-0008-0000-0100-00004C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5261998" y="2174874"/>
          <a:ext cx="0" cy="374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114</xdr:col>
      <xdr:colOff>343348</xdr:colOff>
      <xdr:row>6</xdr:row>
      <xdr:rowOff>3174</xdr:rowOff>
    </xdr:from>
    <xdr:ext cx="0" cy="374561"/>
    <xdr:pic>
      <xdr:nvPicPr>
        <xdr:cNvPr id="77" name="Picture 4">
          <a:extLst>
            <a:ext uri="{FF2B5EF4-FFF2-40B4-BE49-F238E27FC236}">
              <a16:creationId xmlns:a16="http://schemas.microsoft.com/office/drawing/2014/main" id="{00000000-0008-0000-0100-00004D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39833998" y="2174874"/>
          <a:ext cx="0" cy="374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  <xdr:oneCellAnchor>
    <xdr:from>
      <xdr:col>102</xdr:col>
      <xdr:colOff>343348</xdr:colOff>
      <xdr:row>6</xdr:row>
      <xdr:rowOff>3174</xdr:rowOff>
    </xdr:from>
    <xdr:ext cx="0" cy="374561"/>
    <xdr:pic>
      <xdr:nvPicPr>
        <xdr:cNvPr id="78" name="Picture 4">
          <a:extLst>
            <a:ext uri="{FF2B5EF4-FFF2-40B4-BE49-F238E27FC236}">
              <a16:creationId xmlns:a16="http://schemas.microsoft.com/office/drawing/2014/main" id="{00000000-0008-0000-0100-00004E000000}"/>
            </a:ext>
          </a:extLst>
        </xdr:cNvPr>
        <xdr:cNvPicPr preferRelativeResize="0">
          <a:picLocks noChangeArrowheads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44548873" y="2174874"/>
          <a:ext cx="0" cy="374561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ZN54"/>
  <sheetViews>
    <sheetView tabSelected="1" view="pageBreakPreview" topLeftCell="GY1" zoomScale="56" zoomScaleNormal="60" zoomScaleSheetLayoutView="70" workbookViewId="0">
      <selection activeCell="JK11" sqref="JK11"/>
    </sheetView>
  </sheetViews>
  <sheetFormatPr defaultColWidth="0" defaultRowHeight="18" zeroHeight="1" x14ac:dyDescent="0.3"/>
  <cols>
    <col min="1" max="1" width="31.33203125" style="1" customWidth="1"/>
    <col min="2" max="2" width="21.109375" style="1" customWidth="1"/>
    <col min="3" max="3" width="18.33203125" style="1" customWidth="1"/>
    <col min="4" max="4" width="15.6640625" style="1" customWidth="1"/>
    <col min="5" max="5" width="18.88671875" style="1" customWidth="1"/>
    <col min="6" max="6" width="15.6640625" style="1" customWidth="1"/>
    <col min="7" max="7" width="9.33203125" style="1" customWidth="1"/>
    <col min="8" max="19" width="5.6640625" style="1" hidden="1" customWidth="1"/>
    <col min="20" max="20" width="5.6640625" style="1" customWidth="1"/>
    <col min="21" max="21" width="5.6640625" style="2" customWidth="1"/>
    <col min="22" max="103" width="5.6640625" style="1" customWidth="1"/>
    <col min="104" max="105" width="20.6640625" style="1" customWidth="1"/>
    <col min="106" max="106" width="36" style="1" customWidth="1"/>
    <col min="107" max="107" width="30.6640625" style="1" customWidth="1"/>
    <col min="108" max="108" width="20.6640625" style="1" customWidth="1"/>
    <col min="109" max="111" width="15.6640625" style="1" customWidth="1"/>
    <col min="112" max="121" width="5.6640625" style="1" customWidth="1"/>
    <col min="122" max="123" width="15.6640625" style="1" customWidth="1"/>
    <col min="124" max="125" width="5.6640625" style="1" customWidth="1"/>
    <col min="126" max="138" width="5.6640625" style="3" customWidth="1"/>
    <col min="139" max="139" width="15.6640625" style="3" customWidth="1"/>
    <col min="140" max="154" width="5.6640625" style="3" customWidth="1"/>
    <col min="155" max="155" width="15.6640625" style="3" customWidth="1"/>
    <col min="156" max="156" width="5.6640625" style="3" customWidth="1"/>
    <col min="157" max="171" width="5.6640625" style="1" customWidth="1"/>
    <col min="172" max="172" width="15.6640625" style="1" customWidth="1"/>
    <col min="173" max="173" width="5.6640625" style="3" customWidth="1"/>
    <col min="174" max="186" width="5.6640625" style="1" customWidth="1"/>
    <col min="187" max="187" width="15.6640625" style="1" customWidth="1"/>
    <col min="188" max="189" width="20.6640625" style="1" customWidth="1"/>
    <col min="190" max="190" width="34.44140625" style="1" customWidth="1"/>
    <col min="191" max="191" width="30.6640625" style="1" customWidth="1"/>
    <col min="192" max="199" width="5.6640625" style="1" customWidth="1"/>
    <col min="200" max="200" width="11" style="1" customWidth="1"/>
    <col min="201" max="203" width="15.6640625" style="1" customWidth="1"/>
    <col min="204" max="204" width="5.6640625" style="1" customWidth="1"/>
    <col min="205" max="205" width="15.6640625" style="1" customWidth="1"/>
    <col min="206" max="206" width="5.6640625" style="1" customWidth="1"/>
    <col min="207" max="208" width="15.6640625" style="1" customWidth="1"/>
    <col min="209" max="209" width="5.6640625" style="1" customWidth="1"/>
    <col min="210" max="210" width="15.6640625" style="1" customWidth="1"/>
    <col min="211" max="211" width="5.6640625" style="1" customWidth="1"/>
    <col min="212" max="213" width="15.6640625" style="1" customWidth="1"/>
    <col min="214" max="214" width="5.6640625" style="1" customWidth="1"/>
    <col min="215" max="215" width="15.6640625" style="1" customWidth="1"/>
    <col min="216" max="216" width="5.6640625" style="1" customWidth="1"/>
    <col min="217" max="219" width="10.6640625" style="1" customWidth="1"/>
    <col min="220" max="220" width="5.6640625" style="1" customWidth="1"/>
    <col min="221" max="221" width="15.6640625" style="1" customWidth="1"/>
    <col min="222" max="239" width="5.6640625" style="1" customWidth="1"/>
    <col min="240" max="251" width="7.6640625" style="1" customWidth="1"/>
    <col min="252" max="263" width="5.6640625" style="1" customWidth="1"/>
    <col min="264" max="269" width="10.6640625" style="1" customWidth="1"/>
    <col min="270" max="287" width="5.6640625" style="1" customWidth="1"/>
    <col min="288" max="299" width="8.6640625" style="1" customWidth="1"/>
    <col min="300" max="305" width="9.6640625" style="1" customWidth="1"/>
    <col min="306" max="311" width="7.6640625" style="1" customWidth="1"/>
    <col min="312" max="317" width="8.6640625" style="1" customWidth="1"/>
    <col min="318" max="341" width="5.6640625" style="1" customWidth="1"/>
    <col min="342" max="353" width="7.6640625" style="1" customWidth="1"/>
    <col min="354" max="365" width="5.6640625" style="1" customWidth="1"/>
    <col min="366" max="371" width="10.6640625" style="1" customWidth="1"/>
    <col min="372" max="389" width="5.6640625" style="1" customWidth="1"/>
    <col min="390" max="401" width="8.6640625" style="1" customWidth="1"/>
    <col min="402" max="407" width="9.6640625" style="1" customWidth="1"/>
    <col min="408" max="413" width="7.6640625" style="1" customWidth="1"/>
    <col min="414" max="419" width="8.6640625" style="1" customWidth="1"/>
    <col min="420" max="425" width="5.6640625" style="1" customWidth="1"/>
    <col min="426" max="426" width="45.6640625" style="1" customWidth="1"/>
    <col min="427" max="427" width="5.6640625" style="1" customWidth="1"/>
    <col min="428" max="428" width="45.6640625" style="1" customWidth="1"/>
    <col min="429" max="429" width="5.6640625" style="1" customWidth="1"/>
    <col min="430" max="430" width="45.6640625" style="1" customWidth="1"/>
    <col min="431" max="431" width="5.6640625" style="1" customWidth="1"/>
    <col min="432" max="432" width="45.6640625" style="1" customWidth="1"/>
    <col min="433" max="433" width="5.6640625" style="1" customWidth="1"/>
    <col min="434" max="434" width="45.6640625" style="1" customWidth="1"/>
    <col min="435" max="435" width="5.6640625" style="1" customWidth="1"/>
    <col min="436" max="436" width="45.6640625" style="1" customWidth="1"/>
    <col min="437" max="437" width="5.6640625" style="1" customWidth="1"/>
    <col min="438" max="438" width="45.6640625" style="1" customWidth="1"/>
    <col min="439" max="439" width="5.6640625" style="1" customWidth="1"/>
    <col min="440" max="440" width="45.6640625" style="1" customWidth="1"/>
    <col min="441" max="441" width="5.6640625" style="1" customWidth="1"/>
    <col min="442" max="442" width="45.6640625" style="1" customWidth="1"/>
    <col min="443" max="443" width="5.6640625" style="1" customWidth="1"/>
    <col min="444" max="444" width="25.6640625" style="1" customWidth="1"/>
    <col min="445" max="445" width="5.6640625" style="1" customWidth="1"/>
    <col min="446" max="446" width="15.6640625" style="1" customWidth="1"/>
    <col min="447" max="447" width="5.6640625" style="1" customWidth="1"/>
    <col min="448" max="448" width="15.6640625" style="1" customWidth="1"/>
    <col min="449" max="449" width="5.6640625" style="1" customWidth="1"/>
    <col min="450" max="452" width="10.6640625" style="1" customWidth="1"/>
    <col min="453" max="453" width="5.6640625" style="1" customWidth="1"/>
    <col min="454" max="454" width="35.6640625" style="1" customWidth="1"/>
    <col min="455" max="455" width="5.6640625" style="1" customWidth="1"/>
    <col min="456" max="456" width="35.6640625" style="1" customWidth="1"/>
    <col min="457" max="457" width="5.6640625" style="1" customWidth="1"/>
    <col min="458" max="458" width="30.6640625" style="1" customWidth="1"/>
    <col min="459" max="459" width="5.6640625" style="1" customWidth="1"/>
    <col min="460" max="466" width="10.6640625" style="1" customWidth="1"/>
    <col min="467" max="467" width="5.6640625" style="1" customWidth="1"/>
    <col min="468" max="468" width="35.6640625" style="1" customWidth="1"/>
    <col min="469" max="469" width="5.6640625" style="1" customWidth="1"/>
    <col min="470" max="470" width="35.6640625" style="1" customWidth="1"/>
    <col min="471" max="471" width="5.6640625" style="1" customWidth="1"/>
    <col min="472" max="472" width="30.6640625" style="1" customWidth="1"/>
    <col min="473" max="473" width="5.6640625" style="1" customWidth="1"/>
    <col min="474" max="483" width="10.6640625" style="1" customWidth="1"/>
    <col min="484" max="484" width="5.6640625" style="1" customWidth="1"/>
    <col min="485" max="486" width="18.6640625" style="1" customWidth="1"/>
    <col min="487" max="487" width="5.6640625" style="1" customWidth="1"/>
    <col min="488" max="489" width="18.6640625" style="1" customWidth="1"/>
    <col min="490" max="490" width="5.6640625" style="1" customWidth="1"/>
    <col min="491" max="491" width="30.6640625" style="1" customWidth="1"/>
    <col min="492" max="492" width="5.6640625" style="1" customWidth="1"/>
    <col min="493" max="504" width="10.6640625" style="1" customWidth="1"/>
    <col min="505" max="505" width="5.6640625" style="1" customWidth="1"/>
    <col min="506" max="507" width="18.6640625" style="1" customWidth="1"/>
    <col min="508" max="508" width="5.6640625" style="1" customWidth="1"/>
    <col min="509" max="511" width="18.6640625" style="1" customWidth="1"/>
    <col min="512" max="512" width="5.6640625" style="1" customWidth="1"/>
    <col min="513" max="513" width="30.6640625" style="1" customWidth="1"/>
    <col min="514" max="514" width="5.6640625" style="1" customWidth="1"/>
    <col min="515" max="529" width="10.6640625" style="1" customWidth="1"/>
    <col min="530" max="530" width="5.6640625" style="1" customWidth="1"/>
    <col min="531" max="531" width="15.6640625" style="1" customWidth="1"/>
    <col min="532" max="532" width="5.6640625" style="1" customWidth="1"/>
    <col min="533" max="533" width="15.6640625" style="1" customWidth="1"/>
    <col min="534" max="534" width="5.6640625" style="1" customWidth="1"/>
    <col min="535" max="535" width="15.6640625" style="1" customWidth="1"/>
    <col min="536" max="536" width="5.6640625" style="1" customWidth="1"/>
    <col min="537" max="537" width="30.6640625" style="1" customWidth="1"/>
    <col min="538" max="538" width="5.6640625" style="1" customWidth="1"/>
    <col min="539" max="539" width="30.6640625" style="1" customWidth="1"/>
    <col min="540" max="540" width="5.6640625" style="1" customWidth="1"/>
    <col min="541" max="541" width="30.6640625" style="1" customWidth="1"/>
    <col min="542" max="542" width="5.6640625" style="1" customWidth="1"/>
    <col min="543" max="543" width="30.6640625" style="1" customWidth="1"/>
    <col min="544" max="544" width="5.6640625" style="1" customWidth="1"/>
    <col min="545" max="545" width="30.6640625" style="1" customWidth="1"/>
    <col min="546" max="546" width="5.6640625" style="1" customWidth="1"/>
    <col min="547" max="547" width="30.6640625" style="1" customWidth="1"/>
    <col min="548" max="548" width="5.6640625" style="1" customWidth="1"/>
    <col min="549" max="549" width="30.6640625" style="1" customWidth="1"/>
    <col min="550" max="550" width="5.6640625" style="1" customWidth="1"/>
    <col min="551" max="551" width="30.6640625" style="1" customWidth="1"/>
    <col min="552" max="552" width="5.6640625" style="1" customWidth="1"/>
    <col min="553" max="553" width="30.6640625" style="1" customWidth="1"/>
    <col min="554" max="554" width="5.6640625" style="1" customWidth="1"/>
    <col min="555" max="555" width="30.6640625" style="1" customWidth="1"/>
    <col min="556" max="556" width="5.6640625" style="1" customWidth="1"/>
    <col min="557" max="557" width="30.6640625" style="1" customWidth="1"/>
    <col min="558" max="558" width="5.6640625" style="1" customWidth="1"/>
    <col min="559" max="559" width="30.6640625" style="1" customWidth="1"/>
    <col min="560" max="560" width="5.6640625" style="1" customWidth="1"/>
    <col min="561" max="561" width="30.6640625" style="1" customWidth="1"/>
    <col min="562" max="562" width="5.6640625" style="1" customWidth="1"/>
    <col min="563" max="563" width="30.6640625" style="1" customWidth="1"/>
    <col min="564" max="564" width="5.6640625" style="1" customWidth="1"/>
    <col min="565" max="565" width="30.6640625" style="1" customWidth="1"/>
    <col min="566" max="566" width="5.6640625" style="1" customWidth="1"/>
    <col min="567" max="567" width="30.6640625" style="1" customWidth="1"/>
    <col min="568" max="568" width="5.6640625" style="1" customWidth="1"/>
    <col min="569" max="569" width="30.6640625" style="1" customWidth="1"/>
    <col min="570" max="570" width="5.6640625" style="1" customWidth="1"/>
    <col min="571" max="571" width="30.6640625" style="1" customWidth="1"/>
    <col min="572" max="572" width="5.6640625" style="1" customWidth="1"/>
    <col min="573" max="573" width="30.6640625" style="1" customWidth="1"/>
    <col min="574" max="574" width="5.6640625" style="1" customWidth="1"/>
    <col min="575" max="575" width="30.6640625" style="1" customWidth="1"/>
    <col min="576" max="576" width="5.6640625" style="1" customWidth="1"/>
    <col min="577" max="577" width="15.6640625" style="1" customWidth="1"/>
    <col min="578" max="579" width="5.6640625" style="1" customWidth="1"/>
    <col min="580" max="580" width="15.6640625" style="1" customWidth="1"/>
    <col min="581" max="582" width="5.6640625" style="1" customWidth="1"/>
    <col min="583" max="583" width="15.6640625" style="1" customWidth="1"/>
    <col min="584" max="585" width="5.6640625" style="1" customWidth="1"/>
    <col min="586" max="586" width="15.6640625" style="1" customWidth="1"/>
    <col min="587" max="588" width="5.6640625" style="1" customWidth="1"/>
    <col min="589" max="589" width="15.6640625" style="1" customWidth="1"/>
    <col min="590" max="591" width="5.6640625" style="1" customWidth="1"/>
    <col min="592" max="592" width="15.6640625" style="1" customWidth="1"/>
    <col min="593" max="594" width="5.6640625" style="1" customWidth="1"/>
    <col min="595" max="595" width="15.6640625" style="1" customWidth="1"/>
    <col min="596" max="597" width="5.6640625" style="1" customWidth="1"/>
    <col min="598" max="598" width="15.6640625" style="1" customWidth="1"/>
    <col min="599" max="600" width="5.6640625" style="1" customWidth="1"/>
    <col min="601" max="601" width="10.6640625" style="1" customWidth="1"/>
    <col min="602" max="602" width="50.6640625" style="1" customWidth="1"/>
    <col min="603" max="603" width="15.6640625" style="1" customWidth="1"/>
    <col min="604" max="604" width="5.6640625" style="1" customWidth="1"/>
    <col min="605" max="605" width="15.6640625" style="1" customWidth="1"/>
    <col min="606" max="606" width="5.6640625" style="1" customWidth="1"/>
    <col min="607" max="607" width="15.6640625" style="1" customWidth="1"/>
    <col min="608" max="608" width="5.6640625" style="1" customWidth="1"/>
    <col min="609" max="609" width="15.6640625" style="1" customWidth="1"/>
    <col min="610" max="610" width="5.6640625" style="1" customWidth="1"/>
    <col min="611" max="613" width="10.6640625" style="1" customWidth="1"/>
    <col min="614" max="614" width="5.6640625" style="1" customWidth="1"/>
    <col min="615" max="615" width="15.6640625" style="1" customWidth="1"/>
    <col min="616" max="617" width="20.6640625" style="1" customWidth="1"/>
    <col min="618" max="688" width="9.109375" style="1" hidden="1" customWidth="1"/>
    <col min="689" max="690" width="0" style="1" hidden="1" customWidth="1"/>
    <col min="691" max="691" width="9.109375" style="1" hidden="1" customWidth="1"/>
    <col min="692" max="16384" width="9.109375" style="1" hidden="1"/>
  </cols>
  <sheetData>
    <row r="1" spans="1:617" x14ac:dyDescent="0.3"/>
    <row r="2" spans="1:617" ht="30" x14ac:dyDescent="0.3">
      <c r="A2" s="4" t="s">
        <v>382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 t="s">
        <v>346</v>
      </c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/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5"/>
      <c r="GH2" s="4" t="s">
        <v>346</v>
      </c>
      <c r="GI2" s="4"/>
      <c r="GJ2" s="4"/>
      <c r="GK2" s="4"/>
      <c r="GL2" s="4"/>
      <c r="GM2" s="4"/>
      <c r="GN2" s="4"/>
      <c r="GO2" s="4"/>
      <c r="GP2" s="4"/>
      <c r="GQ2" s="4"/>
      <c r="GR2" s="4"/>
      <c r="GS2" s="4"/>
      <c r="GT2" s="4"/>
      <c r="GU2" s="4"/>
      <c r="GV2" s="4"/>
      <c r="GW2" s="4"/>
      <c r="GX2" s="4"/>
      <c r="GY2" s="4"/>
      <c r="GZ2" s="4"/>
    </row>
    <row r="3" spans="1:617" s="5" customFormat="1" ht="30" x14ac:dyDescent="0.3">
      <c r="A3" s="4" t="s">
        <v>358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 t="s">
        <v>358</v>
      </c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/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7"/>
      <c r="GH3" s="4" t="s">
        <v>358</v>
      </c>
      <c r="GI3" s="4"/>
      <c r="GK3" s="8"/>
      <c r="GL3" s="8"/>
      <c r="GM3" s="8"/>
      <c r="GN3" s="8"/>
      <c r="GO3" s="8"/>
      <c r="GP3" s="8"/>
      <c r="GQ3" s="8"/>
      <c r="GR3" s="8"/>
      <c r="GS3" s="8"/>
      <c r="GT3" s="8"/>
      <c r="GW3" s="8"/>
      <c r="GY3" s="8"/>
      <c r="HB3" s="8"/>
      <c r="HD3" s="8"/>
      <c r="HG3" s="8"/>
      <c r="HI3" s="8"/>
      <c r="HJ3" s="8"/>
      <c r="HK3" s="8"/>
      <c r="HM3" s="8"/>
      <c r="WK3" s="8"/>
      <c r="WM3" s="8"/>
      <c r="WN3" s="8"/>
      <c r="WO3" s="8"/>
      <c r="WQ3" s="8"/>
    </row>
    <row r="4" spans="1:617" s="5" customFormat="1" ht="30.6" thickBot="1" x14ac:dyDescent="0.35">
      <c r="A4" s="695" t="s">
        <v>383</v>
      </c>
      <c r="B4" s="695"/>
      <c r="C4" s="695"/>
      <c r="D4" s="69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8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 t="s">
        <v>361</v>
      </c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/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7"/>
      <c r="GH4" s="4" t="s">
        <v>361</v>
      </c>
      <c r="GI4" s="4"/>
      <c r="GJ4" s="4"/>
      <c r="GK4" s="4"/>
      <c r="GL4" s="8"/>
      <c r="GM4" s="8"/>
      <c r="GN4" s="8"/>
      <c r="GO4" s="8"/>
      <c r="GP4" s="8"/>
      <c r="GQ4" s="8"/>
      <c r="GR4" s="8"/>
      <c r="GS4" s="8"/>
      <c r="GT4" s="8"/>
      <c r="GW4" s="8"/>
      <c r="GY4" s="8"/>
      <c r="HB4" s="8"/>
      <c r="HD4" s="8"/>
      <c r="HG4" s="8"/>
      <c r="HI4" s="8"/>
      <c r="HJ4" s="8"/>
      <c r="HK4" s="8"/>
      <c r="HM4" s="8"/>
      <c r="WK4" s="8"/>
      <c r="WM4" s="8"/>
      <c r="WN4" s="8"/>
      <c r="WO4" s="8"/>
      <c r="WQ4" s="8"/>
    </row>
    <row r="5" spans="1:617" s="5" customFormat="1" ht="30.6" thickBot="1" x14ac:dyDescent="0.35">
      <c r="A5" s="4" t="s">
        <v>0</v>
      </c>
      <c r="B5" s="4"/>
      <c r="C5" s="4"/>
      <c r="D5" s="4"/>
      <c r="E5" s="4"/>
      <c r="F5" s="4"/>
      <c r="G5" s="4"/>
      <c r="H5" s="10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 t="s">
        <v>1</v>
      </c>
      <c r="DC5" s="4"/>
      <c r="DD5" s="4"/>
      <c r="DE5" s="4"/>
      <c r="DF5" s="4"/>
      <c r="DG5" s="4"/>
      <c r="DI5" s="4"/>
      <c r="DJ5" s="4"/>
      <c r="DK5" s="4"/>
      <c r="DL5" s="4"/>
      <c r="DM5" s="4"/>
      <c r="DN5" s="4"/>
      <c r="DO5" s="4"/>
      <c r="DP5" s="4"/>
      <c r="DQ5" s="4"/>
      <c r="DR5" s="4"/>
      <c r="DS5" s="4"/>
      <c r="DT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7"/>
      <c r="GH5" s="6" t="s">
        <v>2</v>
      </c>
      <c r="GI5" s="8"/>
      <c r="GJ5" s="620" t="s">
        <v>355</v>
      </c>
      <c r="GK5" s="621"/>
      <c r="GL5" s="621"/>
      <c r="GM5" s="621"/>
      <c r="GN5" s="621"/>
      <c r="GO5" s="621"/>
      <c r="GP5" s="621"/>
      <c r="GQ5" s="621"/>
      <c r="GR5" s="621"/>
      <c r="GS5" s="621"/>
      <c r="GT5" s="622"/>
      <c r="GU5" s="626" t="s">
        <v>353</v>
      </c>
      <c r="GV5" s="627"/>
      <c r="GW5" s="627"/>
      <c r="GX5" s="627"/>
      <c r="GY5" s="628"/>
      <c r="GZ5" s="632" t="s">
        <v>356</v>
      </c>
      <c r="HA5" s="633"/>
      <c r="HB5" s="633"/>
      <c r="HC5" s="633"/>
      <c r="HD5" s="634"/>
      <c r="HE5" s="566" t="s">
        <v>357</v>
      </c>
      <c r="HF5" s="567"/>
      <c r="HG5" s="567"/>
      <c r="HH5" s="567"/>
      <c r="HI5" s="567"/>
      <c r="HJ5" s="567"/>
      <c r="HK5" s="567"/>
      <c r="HL5" s="567"/>
      <c r="HM5" s="568"/>
      <c r="HN5" s="572" t="s">
        <v>3</v>
      </c>
      <c r="HO5" s="573"/>
      <c r="HP5" s="573"/>
      <c r="HQ5" s="573"/>
      <c r="HR5" s="573"/>
      <c r="HS5" s="573"/>
      <c r="HT5" s="573"/>
      <c r="HU5" s="573"/>
      <c r="HV5" s="573"/>
      <c r="HW5" s="573"/>
      <c r="HX5" s="573"/>
      <c r="HY5" s="573"/>
      <c r="HZ5" s="573"/>
      <c r="IA5" s="573"/>
      <c r="IB5" s="573"/>
      <c r="IC5" s="573"/>
      <c r="ID5" s="573"/>
      <c r="IE5" s="573"/>
      <c r="IF5" s="573"/>
      <c r="IG5" s="573"/>
      <c r="IH5" s="573"/>
      <c r="II5" s="573"/>
      <c r="IJ5" s="573"/>
      <c r="IK5" s="573"/>
      <c r="IL5" s="573"/>
      <c r="IM5" s="573"/>
      <c r="IN5" s="573"/>
      <c r="IO5" s="573"/>
      <c r="IP5" s="573"/>
      <c r="IQ5" s="573"/>
      <c r="IR5" s="573"/>
      <c r="IS5" s="573"/>
      <c r="IT5" s="573"/>
      <c r="IU5" s="573"/>
      <c r="IV5" s="573"/>
      <c r="IW5" s="573"/>
      <c r="IX5" s="573"/>
      <c r="IY5" s="573"/>
      <c r="IZ5" s="573"/>
      <c r="JA5" s="573"/>
      <c r="JB5" s="573"/>
      <c r="JC5" s="573"/>
      <c r="JD5" s="573"/>
      <c r="JE5" s="573"/>
      <c r="JF5" s="573"/>
      <c r="JG5" s="573"/>
      <c r="JH5" s="573"/>
      <c r="JI5" s="573"/>
      <c r="JJ5" s="573"/>
      <c r="JK5" s="573"/>
      <c r="JL5" s="573"/>
      <c r="JM5" s="573"/>
      <c r="JN5" s="573"/>
      <c r="JO5" s="573"/>
      <c r="JP5" s="573"/>
      <c r="JQ5" s="573"/>
      <c r="JR5" s="573"/>
      <c r="JS5" s="573"/>
      <c r="JT5" s="573"/>
      <c r="JU5" s="573"/>
      <c r="JV5" s="573"/>
      <c r="JW5" s="573"/>
      <c r="JX5" s="573"/>
      <c r="JY5" s="573"/>
      <c r="JZ5" s="573"/>
      <c r="KA5" s="573"/>
      <c r="KB5" s="573"/>
      <c r="KC5" s="573"/>
      <c r="KD5" s="573"/>
      <c r="KE5" s="573"/>
      <c r="KF5" s="573"/>
      <c r="KG5" s="573"/>
      <c r="KH5" s="573"/>
      <c r="KI5" s="573"/>
      <c r="KJ5" s="573"/>
      <c r="KK5" s="573"/>
      <c r="KL5" s="573"/>
      <c r="KM5" s="573"/>
      <c r="KN5" s="573"/>
      <c r="KO5" s="573"/>
      <c r="KP5" s="573"/>
      <c r="KQ5" s="573"/>
      <c r="KR5" s="573"/>
      <c r="KS5" s="573"/>
      <c r="KT5" s="573"/>
      <c r="KU5" s="573"/>
      <c r="KV5" s="573"/>
      <c r="KW5" s="573"/>
      <c r="KX5" s="573"/>
      <c r="KY5" s="573"/>
      <c r="KZ5" s="573"/>
      <c r="LA5" s="573"/>
      <c r="LB5" s="573"/>
      <c r="LC5" s="573"/>
      <c r="LD5" s="573"/>
      <c r="LE5" s="573"/>
      <c r="LF5" s="573"/>
      <c r="LG5" s="573"/>
      <c r="LH5" s="573"/>
      <c r="LI5" s="573"/>
      <c r="LJ5" s="573"/>
      <c r="LK5" s="574"/>
      <c r="LL5" s="575" t="s">
        <v>4</v>
      </c>
      <c r="LM5" s="576"/>
      <c r="LN5" s="576"/>
      <c r="LO5" s="576"/>
      <c r="LP5" s="576"/>
      <c r="LQ5" s="576"/>
      <c r="LR5" s="576"/>
      <c r="LS5" s="576"/>
      <c r="LT5" s="576"/>
      <c r="LU5" s="576"/>
      <c r="LV5" s="576"/>
      <c r="LW5" s="576"/>
      <c r="LX5" s="576"/>
      <c r="LY5" s="576"/>
      <c r="LZ5" s="576"/>
      <c r="MA5" s="576"/>
      <c r="MB5" s="576"/>
      <c r="MC5" s="576"/>
      <c r="MD5" s="576"/>
      <c r="ME5" s="576"/>
      <c r="MF5" s="576"/>
      <c r="MG5" s="576"/>
      <c r="MH5" s="576"/>
      <c r="MI5" s="576"/>
      <c r="MJ5" s="576"/>
      <c r="MK5" s="576"/>
      <c r="ML5" s="576"/>
      <c r="MM5" s="576"/>
      <c r="MN5" s="576"/>
      <c r="MO5" s="576"/>
      <c r="MP5" s="576"/>
      <c r="MQ5" s="576"/>
      <c r="MR5" s="576"/>
      <c r="MS5" s="576"/>
      <c r="MT5" s="576"/>
      <c r="MU5" s="576"/>
      <c r="MV5" s="576"/>
      <c r="MW5" s="576"/>
      <c r="MX5" s="576"/>
      <c r="MY5" s="576"/>
      <c r="MZ5" s="576"/>
      <c r="NA5" s="576"/>
      <c r="NB5" s="576"/>
      <c r="NC5" s="576"/>
      <c r="ND5" s="576"/>
      <c r="NE5" s="576"/>
      <c r="NF5" s="576"/>
      <c r="NG5" s="576"/>
      <c r="NH5" s="576"/>
      <c r="NI5" s="576"/>
      <c r="NJ5" s="576"/>
      <c r="NK5" s="576"/>
      <c r="NL5" s="576"/>
      <c r="NM5" s="576"/>
      <c r="NN5" s="576"/>
      <c r="NO5" s="576"/>
      <c r="NP5" s="576"/>
      <c r="NQ5" s="576"/>
      <c r="NR5" s="576"/>
      <c r="NS5" s="576"/>
      <c r="NT5" s="576"/>
      <c r="NU5" s="576"/>
      <c r="NV5" s="576"/>
      <c r="NW5" s="576"/>
      <c r="NX5" s="576"/>
      <c r="NY5" s="576"/>
      <c r="NZ5" s="576"/>
      <c r="OA5" s="576"/>
      <c r="OB5" s="576"/>
      <c r="OC5" s="576"/>
      <c r="OD5" s="576"/>
      <c r="OE5" s="576"/>
      <c r="OF5" s="576"/>
      <c r="OG5" s="576"/>
      <c r="OH5" s="576"/>
      <c r="OI5" s="576"/>
      <c r="OJ5" s="576"/>
      <c r="OK5" s="576"/>
      <c r="OL5" s="576"/>
      <c r="OM5" s="576"/>
      <c r="ON5" s="576"/>
      <c r="OO5" s="576"/>
      <c r="OP5" s="576"/>
      <c r="OQ5" s="576"/>
      <c r="OR5" s="576"/>
      <c r="OS5" s="576"/>
      <c r="OT5" s="576"/>
      <c r="OU5" s="576"/>
      <c r="OV5" s="576"/>
      <c r="OW5" s="576"/>
      <c r="OX5" s="576"/>
      <c r="OY5" s="576"/>
      <c r="OZ5" s="576"/>
      <c r="PA5" s="576"/>
      <c r="PB5" s="576"/>
      <c r="PC5" s="576"/>
      <c r="PD5" s="576"/>
      <c r="PE5" s="576"/>
      <c r="PF5" s="576"/>
      <c r="PG5" s="576"/>
      <c r="PH5" s="576"/>
      <c r="PI5" s="577"/>
      <c r="PJ5" s="588" t="s">
        <v>5</v>
      </c>
      <c r="PK5" s="589"/>
      <c r="PL5" s="589"/>
      <c r="PM5" s="589"/>
      <c r="PN5" s="589"/>
      <c r="PO5" s="589"/>
      <c r="PP5" s="589"/>
      <c r="PQ5" s="589"/>
      <c r="PR5" s="589"/>
      <c r="PS5" s="589"/>
      <c r="PT5" s="589"/>
      <c r="PU5" s="589"/>
      <c r="PV5" s="589"/>
      <c r="PW5" s="589"/>
      <c r="PX5" s="589"/>
      <c r="PY5" s="589"/>
      <c r="PZ5" s="589"/>
      <c r="QA5" s="590"/>
      <c r="QB5" s="588" t="s">
        <v>6</v>
      </c>
      <c r="QC5" s="589"/>
      <c r="QD5" s="589"/>
      <c r="QE5" s="589"/>
      <c r="QF5" s="589"/>
      <c r="QG5" s="590"/>
      <c r="QH5" s="594" t="s">
        <v>7</v>
      </c>
      <c r="QI5" s="595"/>
      <c r="QJ5" s="595"/>
      <c r="QK5" s="595"/>
      <c r="QL5" s="595"/>
      <c r="QM5" s="595"/>
      <c r="QN5" s="595"/>
      <c r="QO5" s="595"/>
      <c r="QP5" s="595"/>
      <c r="QQ5" s="595"/>
      <c r="QR5" s="595"/>
      <c r="QS5" s="595"/>
      <c r="QT5" s="595"/>
      <c r="QU5" s="595"/>
      <c r="QV5" s="595"/>
      <c r="QW5" s="595"/>
      <c r="QX5" s="595"/>
      <c r="QY5" s="595"/>
      <c r="QZ5" s="595"/>
      <c r="RA5" s="595"/>
      <c r="RB5" s="595"/>
      <c r="RC5" s="595"/>
      <c r="RD5" s="595"/>
      <c r="RE5" s="595"/>
      <c r="RF5" s="595"/>
      <c r="RG5" s="595"/>
      <c r="RH5" s="595"/>
      <c r="RI5" s="595"/>
      <c r="RJ5" s="595"/>
      <c r="RK5" s="595"/>
      <c r="RL5" s="595"/>
      <c r="RM5" s="595"/>
      <c r="RN5" s="595"/>
      <c r="RO5" s="595"/>
      <c r="RP5" s="595"/>
      <c r="RQ5" s="595"/>
      <c r="RR5" s="595"/>
      <c r="RS5" s="595"/>
      <c r="RT5" s="595"/>
      <c r="RU5" s="595"/>
      <c r="RV5" s="595"/>
      <c r="RW5" s="595"/>
      <c r="RX5" s="595"/>
      <c r="RY5" s="595"/>
      <c r="RZ5" s="595"/>
      <c r="SA5" s="595"/>
      <c r="SB5" s="595"/>
      <c r="SC5" s="595"/>
      <c r="SD5" s="595"/>
      <c r="SE5" s="595"/>
      <c r="SF5" s="595"/>
      <c r="SG5" s="595"/>
      <c r="SH5" s="595"/>
      <c r="SI5" s="595"/>
      <c r="SJ5" s="595"/>
      <c r="SK5" s="595"/>
      <c r="SL5" s="595"/>
      <c r="SM5" s="595"/>
      <c r="SN5" s="595"/>
      <c r="SO5" s="595"/>
      <c r="SP5" s="595"/>
      <c r="SQ5" s="595"/>
      <c r="SR5" s="595"/>
      <c r="SS5" s="595"/>
      <c r="ST5" s="595"/>
      <c r="SU5" s="595"/>
      <c r="SV5" s="595"/>
      <c r="SW5" s="595"/>
      <c r="SX5" s="595"/>
      <c r="SY5" s="595"/>
      <c r="SZ5" s="595"/>
      <c r="TA5" s="595"/>
      <c r="TB5" s="595"/>
      <c r="TC5" s="595"/>
      <c r="TD5" s="595"/>
      <c r="TE5" s="595"/>
      <c r="TF5" s="595"/>
      <c r="TG5" s="595"/>
      <c r="TH5" s="595"/>
      <c r="TI5" s="595"/>
      <c r="TJ5" s="596"/>
      <c r="TK5" s="600" t="s">
        <v>8</v>
      </c>
      <c r="TL5" s="601"/>
      <c r="TM5" s="601"/>
      <c r="TN5" s="601"/>
      <c r="TO5" s="601"/>
      <c r="TP5" s="602"/>
      <c r="TQ5" s="588" t="s">
        <v>9</v>
      </c>
      <c r="TR5" s="589"/>
      <c r="TS5" s="589"/>
      <c r="TT5" s="589"/>
      <c r="TU5" s="589"/>
      <c r="TV5" s="589"/>
      <c r="TW5" s="589"/>
      <c r="TX5" s="589"/>
      <c r="TY5" s="589"/>
      <c r="TZ5" s="589"/>
      <c r="UA5" s="589"/>
      <c r="UB5" s="589"/>
      <c r="UC5" s="589"/>
      <c r="UD5" s="589"/>
      <c r="UE5" s="589"/>
      <c r="UF5" s="589"/>
      <c r="UG5" s="589"/>
      <c r="UH5" s="589"/>
      <c r="UI5" s="589"/>
      <c r="UJ5" s="589"/>
      <c r="UK5" s="589"/>
      <c r="UL5" s="589"/>
      <c r="UM5" s="589"/>
      <c r="UN5" s="589"/>
      <c r="UO5" s="589"/>
      <c r="UP5" s="589"/>
      <c r="UQ5" s="589"/>
      <c r="UR5" s="589"/>
      <c r="US5" s="589"/>
      <c r="UT5" s="589"/>
      <c r="UU5" s="589"/>
      <c r="UV5" s="589"/>
      <c r="UW5" s="589"/>
      <c r="UX5" s="589"/>
      <c r="UY5" s="589"/>
      <c r="UZ5" s="589"/>
      <c r="VA5" s="589"/>
      <c r="VB5" s="589"/>
      <c r="VC5" s="589"/>
      <c r="VD5" s="589"/>
      <c r="VE5" s="589"/>
      <c r="VF5" s="589"/>
      <c r="VG5" s="589"/>
      <c r="VH5" s="589"/>
      <c r="VI5" s="589"/>
      <c r="VJ5" s="589"/>
      <c r="VK5" s="589"/>
      <c r="VL5" s="589"/>
      <c r="VM5" s="589"/>
      <c r="VN5" s="589"/>
      <c r="VO5" s="589"/>
      <c r="VP5" s="589"/>
      <c r="VQ5" s="589"/>
      <c r="VR5" s="589"/>
      <c r="VS5" s="589"/>
      <c r="VT5" s="589"/>
      <c r="VU5" s="589"/>
      <c r="VV5" s="589"/>
      <c r="VW5" s="589"/>
      <c r="VX5" s="589"/>
      <c r="VY5" s="589"/>
      <c r="VZ5" s="589"/>
      <c r="WA5" s="589"/>
      <c r="WB5" s="589"/>
      <c r="WC5" s="589"/>
      <c r="WD5" s="590"/>
      <c r="WE5" s="600" t="s">
        <v>10</v>
      </c>
      <c r="WF5" s="606"/>
      <c r="WG5" s="606"/>
      <c r="WH5" s="606"/>
      <c r="WI5" s="606"/>
      <c r="WJ5" s="607"/>
      <c r="WK5" s="578" t="s">
        <v>354</v>
      </c>
      <c r="WL5" s="579"/>
      <c r="WM5" s="579"/>
      <c r="WN5" s="579"/>
      <c r="WO5" s="579"/>
      <c r="WP5" s="579"/>
      <c r="WQ5" s="580"/>
    </row>
    <row r="6" spans="1:617" s="5" customFormat="1" ht="30.6" thickBot="1" x14ac:dyDescent="0.35">
      <c r="A6" s="9"/>
      <c r="B6" s="10"/>
      <c r="C6" s="10"/>
      <c r="D6" s="10"/>
      <c r="E6" s="10"/>
      <c r="F6" s="10"/>
      <c r="G6" s="10"/>
      <c r="H6" s="10"/>
      <c r="I6" s="10"/>
      <c r="J6" s="10"/>
      <c r="K6" s="10" t="s">
        <v>370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8"/>
      <c r="DB6" s="11"/>
      <c r="DC6" s="11"/>
      <c r="DD6" s="11"/>
      <c r="DE6" s="11"/>
      <c r="DF6" s="11"/>
      <c r="DG6" s="11"/>
      <c r="DH6" s="11"/>
      <c r="DI6" s="11"/>
      <c r="DJ6" s="11"/>
      <c r="DK6" s="11"/>
      <c r="DL6" s="11"/>
      <c r="DM6" s="11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7"/>
      <c r="GI6" s="10"/>
      <c r="GJ6" s="623"/>
      <c r="GK6" s="624"/>
      <c r="GL6" s="624"/>
      <c r="GM6" s="624"/>
      <c r="GN6" s="624"/>
      <c r="GO6" s="624"/>
      <c r="GP6" s="624"/>
      <c r="GQ6" s="624"/>
      <c r="GR6" s="624"/>
      <c r="GS6" s="624"/>
      <c r="GT6" s="625"/>
      <c r="GU6" s="629"/>
      <c r="GV6" s="630"/>
      <c r="GW6" s="630"/>
      <c r="GX6" s="630"/>
      <c r="GY6" s="631"/>
      <c r="GZ6" s="635"/>
      <c r="HA6" s="636"/>
      <c r="HB6" s="636"/>
      <c r="HC6" s="636"/>
      <c r="HD6" s="637"/>
      <c r="HE6" s="569"/>
      <c r="HF6" s="570"/>
      <c r="HG6" s="570"/>
      <c r="HH6" s="570"/>
      <c r="HI6" s="570"/>
      <c r="HJ6" s="570"/>
      <c r="HK6" s="570"/>
      <c r="HL6" s="570"/>
      <c r="HM6" s="571"/>
      <c r="HN6" s="584" t="s">
        <v>11</v>
      </c>
      <c r="HO6" s="585"/>
      <c r="HP6" s="585"/>
      <c r="HQ6" s="585"/>
      <c r="HR6" s="585"/>
      <c r="HS6" s="585"/>
      <c r="HT6" s="585"/>
      <c r="HU6" s="585"/>
      <c r="HV6" s="585"/>
      <c r="HW6" s="585"/>
      <c r="HX6" s="585"/>
      <c r="HY6" s="585"/>
      <c r="HZ6" s="585"/>
      <c r="IA6" s="585"/>
      <c r="IB6" s="585"/>
      <c r="IC6" s="585"/>
      <c r="ID6" s="585"/>
      <c r="IE6" s="585"/>
      <c r="IF6" s="585"/>
      <c r="IG6" s="585"/>
      <c r="IH6" s="585"/>
      <c r="II6" s="585"/>
      <c r="IJ6" s="585"/>
      <c r="IK6" s="585"/>
      <c r="IL6" s="585"/>
      <c r="IM6" s="585"/>
      <c r="IN6" s="585"/>
      <c r="IO6" s="585"/>
      <c r="IP6" s="585"/>
      <c r="IQ6" s="585"/>
      <c r="IR6" s="584" t="s">
        <v>12</v>
      </c>
      <c r="IS6" s="585"/>
      <c r="IT6" s="585"/>
      <c r="IU6" s="585"/>
      <c r="IV6" s="585"/>
      <c r="IW6" s="585"/>
      <c r="IX6" s="585"/>
      <c r="IY6" s="585"/>
      <c r="IZ6" s="585"/>
      <c r="JA6" s="585"/>
      <c r="JB6" s="585"/>
      <c r="JC6" s="585"/>
      <c r="JD6" s="585"/>
      <c r="JE6" s="585"/>
      <c r="JF6" s="585"/>
      <c r="JG6" s="585"/>
      <c r="JH6" s="585"/>
      <c r="JI6" s="585"/>
      <c r="JJ6" s="585"/>
      <c r="JK6" s="585"/>
      <c r="JL6" s="585"/>
      <c r="JM6" s="585"/>
      <c r="JN6" s="585"/>
      <c r="JO6" s="585"/>
      <c r="JP6" s="585"/>
      <c r="JQ6" s="585"/>
      <c r="JR6" s="585"/>
      <c r="JS6" s="585"/>
      <c r="JT6" s="585"/>
      <c r="JU6" s="585"/>
      <c r="JV6" s="585"/>
      <c r="JW6" s="585"/>
      <c r="JX6" s="585"/>
      <c r="JY6" s="585"/>
      <c r="JZ6" s="585"/>
      <c r="KA6" s="585"/>
      <c r="KB6" s="584" t="s">
        <v>13</v>
      </c>
      <c r="KC6" s="585"/>
      <c r="KD6" s="585"/>
      <c r="KE6" s="585"/>
      <c r="KF6" s="585"/>
      <c r="KG6" s="585"/>
      <c r="KH6" s="585"/>
      <c r="KI6" s="585"/>
      <c r="KJ6" s="585"/>
      <c r="KK6" s="585"/>
      <c r="KL6" s="585"/>
      <c r="KM6" s="585"/>
      <c r="KN6" s="585"/>
      <c r="KO6" s="585"/>
      <c r="KP6" s="585"/>
      <c r="KQ6" s="585"/>
      <c r="KR6" s="585"/>
      <c r="KS6" s="585"/>
      <c r="KT6" s="585"/>
      <c r="KU6" s="585"/>
      <c r="KV6" s="585"/>
      <c r="KW6" s="585"/>
      <c r="KX6" s="585"/>
      <c r="KY6" s="585"/>
      <c r="KZ6" s="585"/>
      <c r="LA6" s="585"/>
      <c r="LB6" s="585"/>
      <c r="LC6" s="585"/>
      <c r="LD6" s="585"/>
      <c r="LE6" s="585"/>
      <c r="LF6" s="585"/>
      <c r="LG6" s="585"/>
      <c r="LH6" s="585"/>
      <c r="LI6" s="585"/>
      <c r="LJ6" s="585"/>
      <c r="LK6" s="585"/>
      <c r="LL6" s="586" t="s">
        <v>11</v>
      </c>
      <c r="LM6" s="587"/>
      <c r="LN6" s="587"/>
      <c r="LO6" s="587"/>
      <c r="LP6" s="587"/>
      <c r="LQ6" s="587"/>
      <c r="LR6" s="587"/>
      <c r="LS6" s="587"/>
      <c r="LT6" s="587"/>
      <c r="LU6" s="587"/>
      <c r="LV6" s="587"/>
      <c r="LW6" s="587"/>
      <c r="LX6" s="587"/>
      <c r="LY6" s="587"/>
      <c r="LZ6" s="587"/>
      <c r="MA6" s="587"/>
      <c r="MB6" s="587"/>
      <c r="MC6" s="587"/>
      <c r="MD6" s="587"/>
      <c r="ME6" s="587"/>
      <c r="MF6" s="587"/>
      <c r="MG6" s="587"/>
      <c r="MH6" s="587"/>
      <c r="MI6" s="587"/>
      <c r="MJ6" s="587"/>
      <c r="MK6" s="587"/>
      <c r="ML6" s="587"/>
      <c r="MM6" s="587"/>
      <c r="MN6" s="587"/>
      <c r="MO6" s="587"/>
      <c r="MP6" s="586" t="s">
        <v>12</v>
      </c>
      <c r="MQ6" s="587"/>
      <c r="MR6" s="587"/>
      <c r="MS6" s="587"/>
      <c r="MT6" s="587"/>
      <c r="MU6" s="587"/>
      <c r="MV6" s="587"/>
      <c r="MW6" s="587"/>
      <c r="MX6" s="587"/>
      <c r="MY6" s="587"/>
      <c r="MZ6" s="587"/>
      <c r="NA6" s="587"/>
      <c r="NB6" s="587"/>
      <c r="NC6" s="587"/>
      <c r="ND6" s="587"/>
      <c r="NE6" s="587"/>
      <c r="NF6" s="587"/>
      <c r="NG6" s="587"/>
      <c r="NH6" s="587"/>
      <c r="NI6" s="587"/>
      <c r="NJ6" s="587"/>
      <c r="NK6" s="587"/>
      <c r="NL6" s="587"/>
      <c r="NM6" s="587"/>
      <c r="NN6" s="587"/>
      <c r="NO6" s="587"/>
      <c r="NP6" s="587"/>
      <c r="NQ6" s="587"/>
      <c r="NR6" s="587"/>
      <c r="NS6" s="587"/>
      <c r="NT6" s="587"/>
      <c r="NU6" s="587"/>
      <c r="NV6" s="587"/>
      <c r="NW6" s="587"/>
      <c r="NX6" s="587"/>
      <c r="NY6" s="587"/>
      <c r="NZ6" s="586" t="s">
        <v>13</v>
      </c>
      <c r="OA6" s="587"/>
      <c r="OB6" s="587"/>
      <c r="OC6" s="587"/>
      <c r="OD6" s="587"/>
      <c r="OE6" s="587"/>
      <c r="OF6" s="587"/>
      <c r="OG6" s="587"/>
      <c r="OH6" s="587"/>
      <c r="OI6" s="587"/>
      <c r="OJ6" s="587"/>
      <c r="OK6" s="587"/>
      <c r="OL6" s="587"/>
      <c r="OM6" s="587"/>
      <c r="ON6" s="587"/>
      <c r="OO6" s="587"/>
      <c r="OP6" s="587"/>
      <c r="OQ6" s="587"/>
      <c r="OR6" s="587"/>
      <c r="OS6" s="587"/>
      <c r="OT6" s="587"/>
      <c r="OU6" s="587"/>
      <c r="OV6" s="587"/>
      <c r="OW6" s="587"/>
      <c r="OX6" s="587"/>
      <c r="OY6" s="587"/>
      <c r="OZ6" s="587"/>
      <c r="PA6" s="587"/>
      <c r="PB6" s="587"/>
      <c r="PC6" s="587"/>
      <c r="PD6" s="587"/>
      <c r="PE6" s="587"/>
      <c r="PF6" s="587"/>
      <c r="PG6" s="587"/>
      <c r="PH6" s="587"/>
      <c r="PI6" s="587"/>
      <c r="PJ6" s="591"/>
      <c r="PK6" s="592"/>
      <c r="PL6" s="592"/>
      <c r="PM6" s="592"/>
      <c r="PN6" s="592"/>
      <c r="PO6" s="592"/>
      <c r="PP6" s="592"/>
      <c r="PQ6" s="592"/>
      <c r="PR6" s="592"/>
      <c r="PS6" s="592"/>
      <c r="PT6" s="592"/>
      <c r="PU6" s="592"/>
      <c r="PV6" s="592"/>
      <c r="PW6" s="592"/>
      <c r="PX6" s="592"/>
      <c r="PY6" s="592"/>
      <c r="PZ6" s="592"/>
      <c r="QA6" s="593"/>
      <c r="QB6" s="591"/>
      <c r="QC6" s="592"/>
      <c r="QD6" s="592"/>
      <c r="QE6" s="592"/>
      <c r="QF6" s="592"/>
      <c r="QG6" s="593"/>
      <c r="QH6" s="597"/>
      <c r="QI6" s="598"/>
      <c r="QJ6" s="598"/>
      <c r="QK6" s="598"/>
      <c r="QL6" s="598"/>
      <c r="QM6" s="598"/>
      <c r="QN6" s="598"/>
      <c r="QO6" s="598"/>
      <c r="QP6" s="598"/>
      <c r="QQ6" s="598"/>
      <c r="QR6" s="598"/>
      <c r="QS6" s="598"/>
      <c r="QT6" s="598"/>
      <c r="QU6" s="598"/>
      <c r="QV6" s="598"/>
      <c r="QW6" s="598"/>
      <c r="QX6" s="598"/>
      <c r="QY6" s="598"/>
      <c r="QZ6" s="598"/>
      <c r="RA6" s="598"/>
      <c r="RB6" s="598"/>
      <c r="RC6" s="598"/>
      <c r="RD6" s="598"/>
      <c r="RE6" s="598"/>
      <c r="RF6" s="598"/>
      <c r="RG6" s="598"/>
      <c r="RH6" s="598"/>
      <c r="RI6" s="598"/>
      <c r="RJ6" s="598"/>
      <c r="RK6" s="598"/>
      <c r="RL6" s="598"/>
      <c r="RM6" s="598"/>
      <c r="RN6" s="598"/>
      <c r="RO6" s="598"/>
      <c r="RP6" s="598"/>
      <c r="RQ6" s="598"/>
      <c r="RR6" s="598"/>
      <c r="RS6" s="598"/>
      <c r="RT6" s="598"/>
      <c r="RU6" s="598"/>
      <c r="RV6" s="598"/>
      <c r="RW6" s="598"/>
      <c r="RX6" s="598"/>
      <c r="RY6" s="598"/>
      <c r="RZ6" s="598"/>
      <c r="SA6" s="598"/>
      <c r="SB6" s="598"/>
      <c r="SC6" s="598"/>
      <c r="SD6" s="598"/>
      <c r="SE6" s="598"/>
      <c r="SF6" s="598"/>
      <c r="SG6" s="598"/>
      <c r="SH6" s="598"/>
      <c r="SI6" s="598"/>
      <c r="SJ6" s="598"/>
      <c r="SK6" s="598"/>
      <c r="SL6" s="598"/>
      <c r="SM6" s="598"/>
      <c r="SN6" s="598"/>
      <c r="SO6" s="598"/>
      <c r="SP6" s="598"/>
      <c r="SQ6" s="598"/>
      <c r="SR6" s="598"/>
      <c r="SS6" s="598"/>
      <c r="ST6" s="598"/>
      <c r="SU6" s="598"/>
      <c r="SV6" s="598"/>
      <c r="SW6" s="598"/>
      <c r="SX6" s="598"/>
      <c r="SY6" s="598"/>
      <c r="SZ6" s="598"/>
      <c r="TA6" s="598"/>
      <c r="TB6" s="598"/>
      <c r="TC6" s="598"/>
      <c r="TD6" s="598"/>
      <c r="TE6" s="598"/>
      <c r="TF6" s="598"/>
      <c r="TG6" s="598"/>
      <c r="TH6" s="598"/>
      <c r="TI6" s="598"/>
      <c r="TJ6" s="599"/>
      <c r="TK6" s="603"/>
      <c r="TL6" s="604"/>
      <c r="TM6" s="604"/>
      <c r="TN6" s="604"/>
      <c r="TO6" s="604"/>
      <c r="TP6" s="605"/>
      <c r="TQ6" s="591"/>
      <c r="TR6" s="592"/>
      <c r="TS6" s="592"/>
      <c r="TT6" s="592"/>
      <c r="TU6" s="592"/>
      <c r="TV6" s="592"/>
      <c r="TW6" s="592"/>
      <c r="TX6" s="592"/>
      <c r="TY6" s="592"/>
      <c r="TZ6" s="592"/>
      <c r="UA6" s="592"/>
      <c r="UB6" s="592"/>
      <c r="UC6" s="592"/>
      <c r="UD6" s="592"/>
      <c r="UE6" s="592"/>
      <c r="UF6" s="592"/>
      <c r="UG6" s="592"/>
      <c r="UH6" s="592"/>
      <c r="UI6" s="592"/>
      <c r="UJ6" s="592"/>
      <c r="UK6" s="592"/>
      <c r="UL6" s="592"/>
      <c r="UM6" s="592"/>
      <c r="UN6" s="592"/>
      <c r="UO6" s="592"/>
      <c r="UP6" s="592"/>
      <c r="UQ6" s="592"/>
      <c r="UR6" s="592"/>
      <c r="US6" s="592"/>
      <c r="UT6" s="592"/>
      <c r="UU6" s="592"/>
      <c r="UV6" s="592"/>
      <c r="UW6" s="592"/>
      <c r="UX6" s="592"/>
      <c r="UY6" s="592"/>
      <c r="UZ6" s="592"/>
      <c r="VA6" s="592"/>
      <c r="VB6" s="592"/>
      <c r="VC6" s="592"/>
      <c r="VD6" s="592"/>
      <c r="VE6" s="592"/>
      <c r="VF6" s="592"/>
      <c r="VG6" s="592"/>
      <c r="VH6" s="592"/>
      <c r="VI6" s="592"/>
      <c r="VJ6" s="592"/>
      <c r="VK6" s="592"/>
      <c r="VL6" s="592"/>
      <c r="VM6" s="592"/>
      <c r="VN6" s="592"/>
      <c r="VO6" s="592"/>
      <c r="VP6" s="592"/>
      <c r="VQ6" s="592"/>
      <c r="VR6" s="592"/>
      <c r="VS6" s="592"/>
      <c r="VT6" s="592"/>
      <c r="VU6" s="592"/>
      <c r="VV6" s="592"/>
      <c r="VW6" s="592"/>
      <c r="VX6" s="592"/>
      <c r="VY6" s="592"/>
      <c r="VZ6" s="592"/>
      <c r="WA6" s="592"/>
      <c r="WB6" s="592"/>
      <c r="WC6" s="592"/>
      <c r="WD6" s="593"/>
      <c r="WE6" s="608"/>
      <c r="WF6" s="609"/>
      <c r="WG6" s="609"/>
      <c r="WH6" s="609"/>
      <c r="WI6" s="609"/>
      <c r="WJ6" s="610"/>
      <c r="WK6" s="581"/>
      <c r="WL6" s="582"/>
      <c r="WM6" s="582"/>
      <c r="WN6" s="582"/>
      <c r="WO6" s="582"/>
      <c r="WP6" s="582"/>
      <c r="WQ6" s="583"/>
    </row>
    <row r="7" spans="1:617" ht="30.6" thickBot="1" x14ac:dyDescent="0.55000000000000004">
      <c r="A7" s="12"/>
      <c r="B7" s="12"/>
      <c r="C7" s="13"/>
      <c r="D7" s="13"/>
      <c r="E7" s="460"/>
      <c r="F7" s="460"/>
      <c r="G7" s="14"/>
      <c r="H7" s="611">
        <v>2016</v>
      </c>
      <c r="I7" s="612"/>
      <c r="J7" s="612"/>
      <c r="K7" s="612"/>
      <c r="L7" s="612"/>
      <c r="M7" s="612"/>
      <c r="N7" s="612"/>
      <c r="O7" s="612"/>
      <c r="P7" s="612"/>
      <c r="Q7" s="612"/>
      <c r="R7" s="612"/>
      <c r="S7" s="613"/>
      <c r="T7" s="614">
        <f>2022</f>
        <v>2022</v>
      </c>
      <c r="U7" s="615"/>
      <c r="V7" s="615"/>
      <c r="W7" s="615"/>
      <c r="X7" s="615"/>
      <c r="Y7" s="615"/>
      <c r="Z7" s="615"/>
      <c r="AA7" s="615"/>
      <c r="AB7" s="615"/>
      <c r="AC7" s="615"/>
      <c r="AD7" s="615"/>
      <c r="AE7" s="616"/>
      <c r="AF7" s="614">
        <f>T7+1</f>
        <v>2023</v>
      </c>
      <c r="AG7" s="615"/>
      <c r="AH7" s="615"/>
      <c r="AI7" s="615"/>
      <c r="AJ7" s="615"/>
      <c r="AK7" s="615"/>
      <c r="AL7" s="615"/>
      <c r="AM7" s="615"/>
      <c r="AN7" s="615"/>
      <c r="AO7" s="615"/>
      <c r="AP7" s="615"/>
      <c r="AQ7" s="616"/>
      <c r="AR7" s="614">
        <f>AF7+1</f>
        <v>2024</v>
      </c>
      <c r="AS7" s="615"/>
      <c r="AT7" s="615"/>
      <c r="AU7" s="615"/>
      <c r="AV7" s="615"/>
      <c r="AW7" s="615"/>
      <c r="AX7" s="615"/>
      <c r="AY7" s="615"/>
      <c r="AZ7" s="615"/>
      <c r="BA7" s="615"/>
      <c r="BB7" s="615"/>
      <c r="BC7" s="616"/>
      <c r="BD7" s="614">
        <f>AR7+1</f>
        <v>2025</v>
      </c>
      <c r="BE7" s="615"/>
      <c r="BF7" s="615"/>
      <c r="BG7" s="615"/>
      <c r="BH7" s="615"/>
      <c r="BI7" s="615"/>
      <c r="BJ7" s="615"/>
      <c r="BK7" s="615"/>
      <c r="BL7" s="615"/>
      <c r="BM7" s="615"/>
      <c r="BN7" s="615"/>
      <c r="BO7" s="616"/>
      <c r="BP7" s="614">
        <f>BD7+1</f>
        <v>2026</v>
      </c>
      <c r="BQ7" s="615"/>
      <c r="BR7" s="615"/>
      <c r="BS7" s="615"/>
      <c r="BT7" s="615"/>
      <c r="BU7" s="615"/>
      <c r="BV7" s="615"/>
      <c r="BW7" s="615"/>
      <c r="BX7" s="615"/>
      <c r="BY7" s="615"/>
      <c r="BZ7" s="615"/>
      <c r="CA7" s="616"/>
      <c r="CB7" s="614">
        <f>BP7+1</f>
        <v>2027</v>
      </c>
      <c r="CC7" s="615"/>
      <c r="CD7" s="615"/>
      <c r="CE7" s="615"/>
      <c r="CF7" s="615"/>
      <c r="CG7" s="615"/>
      <c r="CH7" s="615"/>
      <c r="CI7" s="615"/>
      <c r="CJ7" s="615"/>
      <c r="CK7" s="615"/>
      <c r="CL7" s="615"/>
      <c r="CM7" s="616"/>
      <c r="CN7" s="614">
        <f>CB7+1</f>
        <v>2028</v>
      </c>
      <c r="CO7" s="615"/>
      <c r="CP7" s="615"/>
      <c r="CQ7" s="615"/>
      <c r="CR7" s="615"/>
      <c r="CS7" s="615"/>
      <c r="CT7" s="615"/>
      <c r="CU7" s="615"/>
      <c r="CV7" s="615"/>
      <c r="CW7" s="615"/>
      <c r="CX7" s="615"/>
      <c r="CY7" s="616"/>
      <c r="CZ7" s="15"/>
      <c r="DA7" s="16"/>
      <c r="DB7" s="12"/>
      <c r="DC7" s="12"/>
      <c r="DD7" s="13"/>
      <c r="DE7" s="13"/>
      <c r="DF7" s="13"/>
      <c r="DG7" s="13"/>
      <c r="DH7" s="617" t="s">
        <v>355</v>
      </c>
      <c r="DI7" s="618"/>
      <c r="DJ7" s="618"/>
      <c r="DK7" s="618"/>
      <c r="DL7" s="618"/>
      <c r="DM7" s="618"/>
      <c r="DN7" s="618"/>
      <c r="DO7" s="618"/>
      <c r="DP7" s="618"/>
      <c r="DQ7" s="618"/>
      <c r="DR7" s="618"/>
      <c r="DS7" s="619"/>
      <c r="DT7" s="641" t="s">
        <v>353</v>
      </c>
      <c r="DU7" s="642"/>
      <c r="DV7" s="642"/>
      <c r="DW7" s="642"/>
      <c r="DX7" s="642"/>
      <c r="DY7" s="642"/>
      <c r="DZ7" s="642"/>
      <c r="EA7" s="642"/>
      <c r="EB7" s="642"/>
      <c r="EC7" s="642"/>
      <c r="ED7" s="642"/>
      <c r="EE7" s="642"/>
      <c r="EF7" s="642"/>
      <c r="EG7" s="642"/>
      <c r="EH7" s="642"/>
      <c r="EI7" s="643"/>
      <c r="EJ7" s="644" t="s">
        <v>356</v>
      </c>
      <c r="EK7" s="645"/>
      <c r="EL7" s="645"/>
      <c r="EM7" s="645"/>
      <c r="EN7" s="645"/>
      <c r="EO7" s="645"/>
      <c r="EP7" s="645"/>
      <c r="EQ7" s="645"/>
      <c r="ER7" s="645"/>
      <c r="ES7" s="645"/>
      <c r="ET7" s="645"/>
      <c r="EU7" s="645"/>
      <c r="EV7" s="645"/>
      <c r="EW7" s="645"/>
      <c r="EX7" s="645"/>
      <c r="EY7" s="646"/>
      <c r="EZ7" s="647" t="s">
        <v>357</v>
      </c>
      <c r="FA7" s="648"/>
      <c r="FB7" s="648"/>
      <c r="FC7" s="648"/>
      <c r="FD7" s="648"/>
      <c r="FE7" s="648"/>
      <c r="FF7" s="648"/>
      <c r="FG7" s="648"/>
      <c r="FH7" s="648"/>
      <c r="FI7" s="648"/>
      <c r="FJ7" s="648"/>
      <c r="FK7" s="648"/>
      <c r="FL7" s="648"/>
      <c r="FM7" s="648"/>
      <c r="FN7" s="648"/>
      <c r="FO7" s="648"/>
      <c r="FP7" s="649"/>
      <c r="FQ7" s="650" t="s">
        <v>354</v>
      </c>
      <c r="FR7" s="651"/>
      <c r="FS7" s="651"/>
      <c r="FT7" s="651"/>
      <c r="FU7" s="651"/>
      <c r="FV7" s="651"/>
      <c r="FW7" s="651"/>
      <c r="FX7" s="651"/>
      <c r="FY7" s="651"/>
      <c r="FZ7" s="651"/>
      <c r="GA7" s="651"/>
      <c r="GB7" s="651"/>
      <c r="GC7" s="651"/>
      <c r="GD7" s="651"/>
      <c r="GE7" s="652"/>
      <c r="GF7" s="15"/>
      <c r="GG7" s="17"/>
      <c r="GH7" s="12"/>
      <c r="GI7" s="12"/>
      <c r="GJ7" s="638" t="s">
        <v>3</v>
      </c>
      <c r="GK7" s="639"/>
      <c r="GL7" s="639"/>
      <c r="GM7" s="639"/>
      <c r="GN7" s="653"/>
      <c r="GO7" s="640" t="s">
        <v>14</v>
      </c>
      <c r="GP7" s="639"/>
      <c r="GQ7" s="639"/>
      <c r="GR7" s="654"/>
      <c r="GS7" s="13"/>
      <c r="GT7" s="13"/>
      <c r="GU7" s="638" t="s">
        <v>3</v>
      </c>
      <c r="GV7" s="639"/>
      <c r="GW7" s="640" t="s">
        <v>4</v>
      </c>
      <c r="GX7" s="639"/>
      <c r="GY7" s="18"/>
      <c r="GZ7" s="638" t="s">
        <v>3</v>
      </c>
      <c r="HA7" s="639"/>
      <c r="HB7" s="640" t="s">
        <v>4</v>
      </c>
      <c r="HC7" s="639"/>
      <c r="HD7" s="18"/>
      <c r="HE7" s="638" t="s">
        <v>3</v>
      </c>
      <c r="HF7" s="639"/>
      <c r="HG7" s="640" t="s">
        <v>4</v>
      </c>
      <c r="HH7" s="639"/>
      <c r="HI7" s="640" t="s">
        <v>15</v>
      </c>
      <c r="HJ7" s="639"/>
      <c r="HK7" s="639"/>
      <c r="HL7" s="639"/>
      <c r="HM7" s="18"/>
      <c r="HN7" s="655" t="s">
        <v>16</v>
      </c>
      <c r="HO7" s="656"/>
      <c r="HP7" s="656"/>
      <c r="HQ7" s="656"/>
      <c r="HR7" s="656"/>
      <c r="HS7" s="657"/>
      <c r="HT7" s="655" t="s">
        <v>17</v>
      </c>
      <c r="HU7" s="656"/>
      <c r="HV7" s="656"/>
      <c r="HW7" s="656"/>
      <c r="HX7" s="656"/>
      <c r="HY7" s="657"/>
      <c r="HZ7" s="655" t="s">
        <v>18</v>
      </c>
      <c r="IA7" s="656"/>
      <c r="IB7" s="656"/>
      <c r="IC7" s="656"/>
      <c r="ID7" s="656"/>
      <c r="IE7" s="656"/>
      <c r="IF7" s="655" t="s">
        <v>19</v>
      </c>
      <c r="IG7" s="656"/>
      <c r="IH7" s="656"/>
      <c r="II7" s="656"/>
      <c r="IJ7" s="656"/>
      <c r="IK7" s="656"/>
      <c r="IL7" s="655" t="s">
        <v>20</v>
      </c>
      <c r="IM7" s="656"/>
      <c r="IN7" s="656"/>
      <c r="IO7" s="656"/>
      <c r="IP7" s="656"/>
      <c r="IQ7" s="657"/>
      <c r="IR7" s="655" t="s">
        <v>21</v>
      </c>
      <c r="IS7" s="656"/>
      <c r="IT7" s="656"/>
      <c r="IU7" s="656"/>
      <c r="IV7" s="656"/>
      <c r="IW7" s="656"/>
      <c r="IX7" s="655" t="s">
        <v>22</v>
      </c>
      <c r="IY7" s="656"/>
      <c r="IZ7" s="656"/>
      <c r="JA7" s="656"/>
      <c r="JB7" s="656"/>
      <c r="JC7" s="657"/>
      <c r="JD7" s="655" t="s">
        <v>23</v>
      </c>
      <c r="JE7" s="656"/>
      <c r="JF7" s="656"/>
      <c r="JG7" s="656"/>
      <c r="JH7" s="656"/>
      <c r="JI7" s="656"/>
      <c r="JJ7" s="655" t="s">
        <v>24</v>
      </c>
      <c r="JK7" s="656"/>
      <c r="JL7" s="656"/>
      <c r="JM7" s="656"/>
      <c r="JN7" s="656"/>
      <c r="JO7" s="656"/>
      <c r="JP7" s="655" t="s">
        <v>25</v>
      </c>
      <c r="JQ7" s="656"/>
      <c r="JR7" s="656"/>
      <c r="JS7" s="656"/>
      <c r="JT7" s="656"/>
      <c r="JU7" s="656"/>
      <c r="JV7" s="655" t="s">
        <v>26</v>
      </c>
      <c r="JW7" s="656"/>
      <c r="JX7" s="656"/>
      <c r="JY7" s="656"/>
      <c r="JZ7" s="656"/>
      <c r="KA7" s="657"/>
      <c r="KB7" s="655" t="s">
        <v>27</v>
      </c>
      <c r="KC7" s="656"/>
      <c r="KD7" s="656"/>
      <c r="KE7" s="656"/>
      <c r="KF7" s="656"/>
      <c r="KG7" s="657"/>
      <c r="KH7" s="655" t="s">
        <v>28</v>
      </c>
      <c r="KI7" s="656"/>
      <c r="KJ7" s="656"/>
      <c r="KK7" s="656"/>
      <c r="KL7" s="656"/>
      <c r="KM7" s="656"/>
      <c r="KN7" s="655" t="s">
        <v>29</v>
      </c>
      <c r="KO7" s="656"/>
      <c r="KP7" s="656"/>
      <c r="KQ7" s="656"/>
      <c r="KR7" s="656"/>
      <c r="KS7" s="656"/>
      <c r="KT7" s="655" t="s">
        <v>30</v>
      </c>
      <c r="KU7" s="656"/>
      <c r="KV7" s="656"/>
      <c r="KW7" s="656"/>
      <c r="KX7" s="656"/>
      <c r="KY7" s="656"/>
      <c r="KZ7" s="655" t="s">
        <v>31</v>
      </c>
      <c r="LA7" s="656"/>
      <c r="LB7" s="656"/>
      <c r="LC7" s="656"/>
      <c r="LD7" s="656"/>
      <c r="LE7" s="656"/>
      <c r="LF7" s="655" t="s">
        <v>32</v>
      </c>
      <c r="LG7" s="656"/>
      <c r="LH7" s="656"/>
      <c r="LI7" s="656"/>
      <c r="LJ7" s="656"/>
      <c r="LK7" s="657"/>
      <c r="LL7" s="656" t="s">
        <v>16</v>
      </c>
      <c r="LM7" s="656"/>
      <c r="LN7" s="656"/>
      <c r="LO7" s="656"/>
      <c r="LP7" s="656"/>
      <c r="LQ7" s="657"/>
      <c r="LR7" s="655" t="s">
        <v>17</v>
      </c>
      <c r="LS7" s="656"/>
      <c r="LT7" s="656"/>
      <c r="LU7" s="656"/>
      <c r="LV7" s="656"/>
      <c r="LW7" s="657"/>
      <c r="LX7" s="655" t="s">
        <v>18</v>
      </c>
      <c r="LY7" s="656"/>
      <c r="LZ7" s="656"/>
      <c r="MA7" s="656"/>
      <c r="MB7" s="656"/>
      <c r="MC7" s="656"/>
      <c r="MD7" s="655" t="s">
        <v>19</v>
      </c>
      <c r="ME7" s="656"/>
      <c r="MF7" s="656"/>
      <c r="MG7" s="656"/>
      <c r="MH7" s="656"/>
      <c r="MI7" s="656"/>
      <c r="MJ7" s="655" t="s">
        <v>20</v>
      </c>
      <c r="MK7" s="656"/>
      <c r="ML7" s="656"/>
      <c r="MM7" s="656"/>
      <c r="MN7" s="656"/>
      <c r="MO7" s="656"/>
      <c r="MP7" s="655" t="s">
        <v>21</v>
      </c>
      <c r="MQ7" s="656"/>
      <c r="MR7" s="656"/>
      <c r="MS7" s="656"/>
      <c r="MT7" s="656"/>
      <c r="MU7" s="656"/>
      <c r="MV7" s="655" t="s">
        <v>22</v>
      </c>
      <c r="MW7" s="656"/>
      <c r="MX7" s="656"/>
      <c r="MY7" s="656"/>
      <c r="MZ7" s="656"/>
      <c r="NA7" s="657"/>
      <c r="NB7" s="655" t="s">
        <v>23</v>
      </c>
      <c r="NC7" s="656"/>
      <c r="ND7" s="656"/>
      <c r="NE7" s="656"/>
      <c r="NF7" s="656"/>
      <c r="NG7" s="656"/>
      <c r="NH7" s="655" t="s">
        <v>24</v>
      </c>
      <c r="NI7" s="656"/>
      <c r="NJ7" s="656"/>
      <c r="NK7" s="656"/>
      <c r="NL7" s="656"/>
      <c r="NM7" s="656"/>
      <c r="NN7" s="655" t="s">
        <v>25</v>
      </c>
      <c r="NO7" s="656"/>
      <c r="NP7" s="656"/>
      <c r="NQ7" s="656"/>
      <c r="NR7" s="656"/>
      <c r="NS7" s="656"/>
      <c r="NT7" s="655" t="s">
        <v>26</v>
      </c>
      <c r="NU7" s="656"/>
      <c r="NV7" s="656"/>
      <c r="NW7" s="656"/>
      <c r="NX7" s="656"/>
      <c r="NY7" s="656"/>
      <c r="NZ7" s="655" t="s">
        <v>27</v>
      </c>
      <c r="OA7" s="656"/>
      <c r="OB7" s="656"/>
      <c r="OC7" s="656"/>
      <c r="OD7" s="656"/>
      <c r="OE7" s="657"/>
      <c r="OF7" s="655" t="s">
        <v>28</v>
      </c>
      <c r="OG7" s="656"/>
      <c r="OH7" s="656"/>
      <c r="OI7" s="656"/>
      <c r="OJ7" s="656"/>
      <c r="OK7" s="656"/>
      <c r="OL7" s="655" t="s">
        <v>29</v>
      </c>
      <c r="OM7" s="656"/>
      <c r="ON7" s="656"/>
      <c r="OO7" s="656"/>
      <c r="OP7" s="656"/>
      <c r="OQ7" s="656"/>
      <c r="OR7" s="655" t="s">
        <v>30</v>
      </c>
      <c r="OS7" s="656"/>
      <c r="OT7" s="656"/>
      <c r="OU7" s="656"/>
      <c r="OV7" s="656"/>
      <c r="OW7" s="656"/>
      <c r="OX7" s="655" t="s">
        <v>31</v>
      </c>
      <c r="OY7" s="656"/>
      <c r="OZ7" s="656"/>
      <c r="PA7" s="656"/>
      <c r="PB7" s="656"/>
      <c r="PC7" s="656"/>
      <c r="PD7" s="655" t="s">
        <v>32</v>
      </c>
      <c r="PE7" s="656"/>
      <c r="PF7" s="656"/>
      <c r="PG7" s="656"/>
      <c r="PH7" s="656"/>
      <c r="PI7" s="656"/>
      <c r="PJ7" s="19"/>
      <c r="PK7" s="20"/>
      <c r="PL7" s="20"/>
      <c r="PM7" s="20"/>
      <c r="PN7" s="20"/>
      <c r="PO7" s="21"/>
      <c r="PP7" s="22"/>
      <c r="PQ7" s="23"/>
      <c r="PR7" s="23"/>
      <c r="PS7" s="23"/>
      <c r="PT7" s="23"/>
      <c r="PU7" s="24"/>
      <c r="PV7" s="25"/>
      <c r="PW7" s="26"/>
      <c r="PX7" s="26"/>
      <c r="PY7" s="26"/>
      <c r="PZ7" s="26"/>
      <c r="QA7" s="27"/>
      <c r="QB7" s="28"/>
      <c r="QC7" s="29"/>
      <c r="QD7" s="30"/>
      <c r="QE7" s="31"/>
      <c r="QF7" s="32"/>
      <c r="QG7" s="33"/>
      <c r="QH7" s="661" t="s">
        <v>362</v>
      </c>
      <c r="QI7" s="661"/>
      <c r="QJ7" s="661"/>
      <c r="QK7" s="662"/>
      <c r="QL7" s="663" t="s">
        <v>353</v>
      </c>
      <c r="QM7" s="664"/>
      <c r="QN7" s="664"/>
      <c r="QO7" s="664"/>
      <c r="QP7" s="664"/>
      <c r="QQ7" s="664"/>
      <c r="QR7" s="664"/>
      <c r="QS7" s="664"/>
      <c r="QT7" s="664"/>
      <c r="QU7" s="664"/>
      <c r="QV7" s="664"/>
      <c r="QW7" s="664"/>
      <c r="QX7" s="664"/>
      <c r="QY7" s="665"/>
      <c r="QZ7" s="666" t="s">
        <v>356</v>
      </c>
      <c r="RA7" s="667"/>
      <c r="RB7" s="667"/>
      <c r="RC7" s="667"/>
      <c r="RD7" s="667"/>
      <c r="RE7" s="667"/>
      <c r="RF7" s="667"/>
      <c r="RG7" s="667"/>
      <c r="RH7" s="667"/>
      <c r="RI7" s="667"/>
      <c r="RJ7" s="667"/>
      <c r="RK7" s="667"/>
      <c r="RL7" s="667"/>
      <c r="RM7" s="667"/>
      <c r="RN7" s="667"/>
      <c r="RO7" s="667"/>
      <c r="RP7" s="668"/>
      <c r="RQ7" s="669" t="s">
        <v>357</v>
      </c>
      <c r="RR7" s="670"/>
      <c r="RS7" s="670"/>
      <c r="RT7" s="670"/>
      <c r="RU7" s="670"/>
      <c r="RV7" s="670"/>
      <c r="RW7" s="670"/>
      <c r="RX7" s="670"/>
      <c r="RY7" s="670"/>
      <c r="RZ7" s="670"/>
      <c r="SA7" s="670"/>
      <c r="SB7" s="670"/>
      <c r="SC7" s="670"/>
      <c r="SD7" s="670"/>
      <c r="SE7" s="670"/>
      <c r="SF7" s="670"/>
      <c r="SG7" s="670"/>
      <c r="SH7" s="670"/>
      <c r="SI7" s="670"/>
      <c r="SJ7" s="670"/>
      <c r="SK7" s="671"/>
      <c r="SL7" s="658" t="s">
        <v>354</v>
      </c>
      <c r="SM7" s="659"/>
      <c r="SN7" s="659"/>
      <c r="SO7" s="659"/>
      <c r="SP7" s="659"/>
      <c r="SQ7" s="659"/>
      <c r="SR7" s="659"/>
      <c r="SS7" s="659"/>
      <c r="ST7" s="659"/>
      <c r="SU7" s="659"/>
      <c r="SV7" s="659"/>
      <c r="SW7" s="659"/>
      <c r="SX7" s="659"/>
      <c r="SY7" s="659"/>
      <c r="SZ7" s="659"/>
      <c r="TA7" s="659"/>
      <c r="TB7" s="659"/>
      <c r="TC7" s="659"/>
      <c r="TD7" s="659"/>
      <c r="TE7" s="659"/>
      <c r="TF7" s="659"/>
      <c r="TG7" s="659"/>
      <c r="TH7" s="659"/>
      <c r="TI7" s="659"/>
      <c r="TJ7" s="660"/>
      <c r="TK7" s="34"/>
      <c r="TL7" s="35"/>
      <c r="TM7" s="36"/>
      <c r="TN7" s="37"/>
      <c r="TO7" s="38"/>
      <c r="TP7" s="39"/>
      <c r="TQ7" s="40"/>
      <c r="TR7" s="41"/>
      <c r="TS7" s="41"/>
      <c r="TT7" s="41"/>
      <c r="TU7" s="41"/>
      <c r="TV7" s="41"/>
      <c r="TW7" s="41"/>
      <c r="TX7" s="41"/>
      <c r="TY7" s="41"/>
      <c r="TZ7" s="42"/>
      <c r="UA7" s="43"/>
      <c r="UB7" s="44"/>
      <c r="UC7" s="44"/>
      <c r="UD7" s="44"/>
      <c r="UE7" s="44"/>
      <c r="UF7" s="44"/>
      <c r="UG7" s="44"/>
      <c r="UH7" s="44"/>
      <c r="UI7" s="44"/>
      <c r="UJ7" s="45"/>
      <c r="UK7" s="46"/>
      <c r="UL7" s="47"/>
      <c r="UM7" s="47"/>
      <c r="UN7" s="47"/>
      <c r="UO7" s="47"/>
      <c r="UP7" s="47"/>
      <c r="UQ7" s="47"/>
      <c r="UR7" s="47"/>
      <c r="US7" s="47"/>
      <c r="UT7" s="48"/>
      <c r="UU7" s="49"/>
      <c r="UV7" s="50"/>
      <c r="UW7" s="50"/>
      <c r="UX7" s="50"/>
      <c r="UY7" s="50"/>
      <c r="UZ7" s="50"/>
      <c r="VA7" s="50"/>
      <c r="VB7" s="50"/>
      <c r="VC7" s="50"/>
      <c r="VD7" s="51"/>
      <c r="VE7" s="52"/>
      <c r="VF7" s="53"/>
      <c r="VG7" s="53"/>
      <c r="VH7" s="53"/>
      <c r="VI7" s="53"/>
      <c r="VJ7" s="53"/>
      <c r="VK7" s="53"/>
      <c r="VL7" s="53"/>
      <c r="VM7" s="53"/>
      <c r="VN7" s="53"/>
      <c r="VO7" s="53"/>
      <c r="VP7" s="53"/>
      <c r="VQ7" s="53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4"/>
      <c r="WC7" s="55"/>
      <c r="WD7" s="56"/>
      <c r="WE7" s="34"/>
      <c r="WF7" s="35"/>
      <c r="WG7" s="36"/>
      <c r="WH7" s="37"/>
      <c r="WI7" s="38"/>
      <c r="WJ7" s="39"/>
      <c r="WK7" s="640" t="s">
        <v>4</v>
      </c>
      <c r="WL7" s="639"/>
      <c r="WM7" s="640" t="s">
        <v>15</v>
      </c>
      <c r="WN7" s="639"/>
      <c r="WO7" s="639"/>
      <c r="WP7" s="639"/>
      <c r="WQ7" s="18"/>
      <c r="WR7" s="15"/>
      <c r="WS7" s="57"/>
    </row>
    <row r="8" spans="1:617" ht="200.1" customHeight="1" thickBot="1" x14ac:dyDescent="0.55000000000000004">
      <c r="A8" s="58" t="s">
        <v>33</v>
      </c>
      <c r="B8" s="58" t="s">
        <v>34</v>
      </c>
      <c r="C8" s="59" t="s">
        <v>35</v>
      </c>
      <c r="D8" s="59" t="s">
        <v>36</v>
      </c>
      <c r="E8" s="461" t="s">
        <v>37</v>
      </c>
      <c r="F8" s="492" t="s">
        <v>59</v>
      </c>
      <c r="G8" s="60" t="s">
        <v>38</v>
      </c>
      <c r="H8" s="61" t="s">
        <v>39</v>
      </c>
      <c r="I8" s="62" t="s">
        <v>40</v>
      </c>
      <c r="J8" s="62" t="s">
        <v>41</v>
      </c>
      <c r="K8" s="61" t="s">
        <v>42</v>
      </c>
      <c r="L8" s="63" t="s">
        <v>41</v>
      </c>
      <c r="M8" s="63" t="s">
        <v>43</v>
      </c>
      <c r="N8" s="62" t="s">
        <v>43</v>
      </c>
      <c r="O8" s="61" t="s">
        <v>42</v>
      </c>
      <c r="P8" s="63" t="s">
        <v>44</v>
      </c>
      <c r="Q8" s="62" t="s">
        <v>45</v>
      </c>
      <c r="R8" s="61" t="s">
        <v>46</v>
      </c>
      <c r="S8" s="64" t="s">
        <v>47</v>
      </c>
      <c r="T8" s="65" t="s">
        <v>39</v>
      </c>
      <c r="U8" s="63" t="s">
        <v>40</v>
      </c>
      <c r="V8" s="63" t="s">
        <v>41</v>
      </c>
      <c r="W8" s="63" t="s">
        <v>42</v>
      </c>
      <c r="X8" s="62" t="s">
        <v>41</v>
      </c>
      <c r="Y8" s="61" t="s">
        <v>43</v>
      </c>
      <c r="Z8" s="63" t="s">
        <v>43</v>
      </c>
      <c r="AA8" s="62" t="s">
        <v>42</v>
      </c>
      <c r="AB8" s="61" t="s">
        <v>44</v>
      </c>
      <c r="AC8" s="62" t="s">
        <v>45</v>
      </c>
      <c r="AD8" s="62" t="s">
        <v>46</v>
      </c>
      <c r="AE8" s="66" t="s">
        <v>47</v>
      </c>
      <c r="AF8" s="61" t="s">
        <v>39</v>
      </c>
      <c r="AG8" s="63" t="s">
        <v>40</v>
      </c>
      <c r="AH8" s="62" t="s">
        <v>41</v>
      </c>
      <c r="AI8" s="62" t="s">
        <v>42</v>
      </c>
      <c r="AJ8" s="62" t="s">
        <v>41</v>
      </c>
      <c r="AK8" s="62" t="s">
        <v>43</v>
      </c>
      <c r="AL8" s="61" t="s">
        <v>43</v>
      </c>
      <c r="AM8" s="62" t="s">
        <v>42</v>
      </c>
      <c r="AN8" s="62" t="s">
        <v>44</v>
      </c>
      <c r="AO8" s="62" t="s">
        <v>45</v>
      </c>
      <c r="AP8" s="62" t="s">
        <v>46</v>
      </c>
      <c r="AQ8" s="66" t="s">
        <v>47</v>
      </c>
      <c r="AR8" s="61" t="s">
        <v>39</v>
      </c>
      <c r="AS8" s="62" t="s">
        <v>40</v>
      </c>
      <c r="AT8" s="61" t="s">
        <v>41</v>
      </c>
      <c r="AU8" s="62" t="s">
        <v>42</v>
      </c>
      <c r="AV8" s="62" t="s">
        <v>41</v>
      </c>
      <c r="AW8" s="61" t="s">
        <v>43</v>
      </c>
      <c r="AX8" s="63" t="s">
        <v>43</v>
      </c>
      <c r="AY8" s="62" t="s">
        <v>42</v>
      </c>
      <c r="AZ8" s="63" t="s">
        <v>44</v>
      </c>
      <c r="BA8" s="63" t="s">
        <v>45</v>
      </c>
      <c r="BB8" s="62" t="s">
        <v>46</v>
      </c>
      <c r="BC8" s="66" t="s">
        <v>47</v>
      </c>
      <c r="BD8" s="67" t="s">
        <v>39</v>
      </c>
      <c r="BE8" s="61" t="s">
        <v>40</v>
      </c>
      <c r="BF8" s="63" t="s">
        <v>41</v>
      </c>
      <c r="BG8" s="63" t="s">
        <v>42</v>
      </c>
      <c r="BH8" s="63" t="s">
        <v>41</v>
      </c>
      <c r="BI8" s="62" t="s">
        <v>43</v>
      </c>
      <c r="BJ8" s="62" t="s">
        <v>43</v>
      </c>
      <c r="BK8" s="61" t="s">
        <v>42</v>
      </c>
      <c r="BL8" s="62" t="s">
        <v>44</v>
      </c>
      <c r="BM8" s="61" t="s">
        <v>45</v>
      </c>
      <c r="BN8" s="63" t="s">
        <v>46</v>
      </c>
      <c r="BO8" s="64" t="s">
        <v>47</v>
      </c>
      <c r="BP8" s="67" t="s">
        <v>39</v>
      </c>
      <c r="BQ8" s="61" t="s">
        <v>40</v>
      </c>
      <c r="BR8" s="63" t="s">
        <v>41</v>
      </c>
      <c r="BS8" s="63" t="s">
        <v>42</v>
      </c>
      <c r="BT8" s="63" t="s">
        <v>41</v>
      </c>
      <c r="BU8" s="62" t="s">
        <v>43</v>
      </c>
      <c r="BV8" s="62" t="s">
        <v>43</v>
      </c>
      <c r="BW8" s="61" t="s">
        <v>42</v>
      </c>
      <c r="BX8" s="62" t="s">
        <v>44</v>
      </c>
      <c r="BY8" s="61" t="s">
        <v>45</v>
      </c>
      <c r="BZ8" s="63" t="s">
        <v>46</v>
      </c>
      <c r="CA8" s="64" t="s">
        <v>47</v>
      </c>
      <c r="CB8" s="67" t="s">
        <v>39</v>
      </c>
      <c r="CC8" s="61" t="s">
        <v>40</v>
      </c>
      <c r="CD8" s="63" t="s">
        <v>41</v>
      </c>
      <c r="CE8" s="63" t="s">
        <v>42</v>
      </c>
      <c r="CF8" s="63" t="s">
        <v>41</v>
      </c>
      <c r="CG8" s="62" t="s">
        <v>43</v>
      </c>
      <c r="CH8" s="62" t="s">
        <v>43</v>
      </c>
      <c r="CI8" s="61" t="s">
        <v>42</v>
      </c>
      <c r="CJ8" s="62" t="s">
        <v>44</v>
      </c>
      <c r="CK8" s="61" t="s">
        <v>45</v>
      </c>
      <c r="CL8" s="63" t="s">
        <v>46</v>
      </c>
      <c r="CM8" s="64" t="s">
        <v>47</v>
      </c>
      <c r="CN8" s="67" t="s">
        <v>39</v>
      </c>
      <c r="CO8" s="61" t="s">
        <v>40</v>
      </c>
      <c r="CP8" s="63" t="s">
        <v>41</v>
      </c>
      <c r="CQ8" s="63" t="s">
        <v>42</v>
      </c>
      <c r="CR8" s="63" t="s">
        <v>41</v>
      </c>
      <c r="CS8" s="62" t="s">
        <v>43</v>
      </c>
      <c r="CT8" s="62" t="s">
        <v>43</v>
      </c>
      <c r="CU8" s="61" t="s">
        <v>42</v>
      </c>
      <c r="CV8" s="62" t="s">
        <v>44</v>
      </c>
      <c r="CW8" s="61" t="s">
        <v>45</v>
      </c>
      <c r="CX8" s="63" t="s">
        <v>46</v>
      </c>
      <c r="CY8" s="64" t="s">
        <v>47</v>
      </c>
      <c r="CZ8" s="68"/>
      <c r="DA8" s="16"/>
      <c r="DB8" s="58" t="s">
        <v>33</v>
      </c>
      <c r="DC8" s="324" t="s">
        <v>34</v>
      </c>
      <c r="DD8" s="325" t="s">
        <v>35</v>
      </c>
      <c r="DE8" s="325" t="s">
        <v>36</v>
      </c>
      <c r="DF8" s="325" t="s">
        <v>37</v>
      </c>
      <c r="DG8" s="325" t="s">
        <v>48</v>
      </c>
      <c r="DH8" s="321" t="s">
        <v>49</v>
      </c>
      <c r="DI8" s="322" t="s">
        <v>50</v>
      </c>
      <c r="DJ8" s="322" t="s">
        <v>51</v>
      </c>
      <c r="DK8" s="321" t="s">
        <v>52</v>
      </c>
      <c r="DL8" s="77" t="s">
        <v>53</v>
      </c>
      <c r="DM8" s="322" t="s">
        <v>54</v>
      </c>
      <c r="DN8" s="321" t="s">
        <v>55</v>
      </c>
      <c r="DO8" s="322" t="s">
        <v>56</v>
      </c>
      <c r="DP8" s="77" t="s">
        <v>57</v>
      </c>
      <c r="DQ8" s="323" t="s">
        <v>58</v>
      </c>
      <c r="DR8" s="326" t="s">
        <v>59</v>
      </c>
      <c r="DS8" s="327" t="s">
        <v>60</v>
      </c>
      <c r="DT8" s="80" t="s">
        <v>61</v>
      </c>
      <c r="DU8" s="328" t="s">
        <v>62</v>
      </c>
      <c r="DV8" s="71" t="s">
        <v>63</v>
      </c>
      <c r="DW8" s="71" t="s">
        <v>64</v>
      </c>
      <c r="DX8" s="437" t="s">
        <v>65</v>
      </c>
      <c r="DY8" s="71" t="s">
        <v>66</v>
      </c>
      <c r="DZ8" s="71" t="s">
        <v>67</v>
      </c>
      <c r="EA8" s="71" t="s">
        <v>68</v>
      </c>
      <c r="EB8" s="71" t="s">
        <v>69</v>
      </c>
      <c r="EC8" s="328" t="s">
        <v>70</v>
      </c>
      <c r="ED8" s="71" t="s">
        <v>71</v>
      </c>
      <c r="EE8" s="72" t="s">
        <v>72</v>
      </c>
      <c r="EF8" s="72" t="s">
        <v>73</v>
      </c>
      <c r="EG8" s="72" t="s">
        <v>74</v>
      </c>
      <c r="EH8" s="73" t="s">
        <v>75</v>
      </c>
      <c r="EI8" s="326" t="s">
        <v>60</v>
      </c>
      <c r="EJ8" s="75" t="s">
        <v>76</v>
      </c>
      <c r="EK8" s="322" t="s">
        <v>77</v>
      </c>
      <c r="EL8" s="322" t="s">
        <v>63</v>
      </c>
      <c r="EM8" s="322" t="s">
        <v>64</v>
      </c>
      <c r="EN8" s="321" t="s">
        <v>78</v>
      </c>
      <c r="EO8" s="322" t="s">
        <v>66</v>
      </c>
      <c r="EP8" s="322" t="s">
        <v>67</v>
      </c>
      <c r="EQ8" s="322" t="s">
        <v>68</v>
      </c>
      <c r="ER8" s="322" t="s">
        <v>79</v>
      </c>
      <c r="ES8" s="321" t="s">
        <v>80</v>
      </c>
      <c r="ET8" s="322" t="s">
        <v>81</v>
      </c>
      <c r="EU8" s="77" t="s">
        <v>82</v>
      </c>
      <c r="EV8" s="77" t="s">
        <v>83</v>
      </c>
      <c r="EW8" s="77" t="s">
        <v>84</v>
      </c>
      <c r="EX8" s="323" t="s">
        <v>85</v>
      </c>
      <c r="EY8" s="326" t="s">
        <v>60</v>
      </c>
      <c r="EZ8" s="70" t="s">
        <v>76</v>
      </c>
      <c r="FA8" s="71" t="s">
        <v>77</v>
      </c>
      <c r="FB8" s="71" t="s">
        <v>86</v>
      </c>
      <c r="FC8" s="71" t="s">
        <v>64</v>
      </c>
      <c r="FD8" s="71" t="s">
        <v>87</v>
      </c>
      <c r="FE8" s="328" t="s">
        <v>88</v>
      </c>
      <c r="FF8" s="71" t="s">
        <v>89</v>
      </c>
      <c r="FG8" s="71" t="s">
        <v>90</v>
      </c>
      <c r="FH8" s="71" t="s">
        <v>68</v>
      </c>
      <c r="FI8" s="71" t="s">
        <v>91</v>
      </c>
      <c r="FJ8" s="328" t="s">
        <v>92</v>
      </c>
      <c r="FK8" s="71" t="s">
        <v>93</v>
      </c>
      <c r="FL8" s="72" t="s">
        <v>94</v>
      </c>
      <c r="FM8" s="72" t="s">
        <v>95</v>
      </c>
      <c r="FN8" s="72" t="s">
        <v>96</v>
      </c>
      <c r="FO8" s="73" t="s">
        <v>97</v>
      </c>
      <c r="FP8" s="329" t="s">
        <v>60</v>
      </c>
      <c r="FQ8" s="330" t="s">
        <v>62</v>
      </c>
      <c r="FR8" s="331" t="s">
        <v>86</v>
      </c>
      <c r="FS8" s="71" t="s">
        <v>98</v>
      </c>
      <c r="FT8" s="332" t="s">
        <v>99</v>
      </c>
      <c r="FU8" s="333" t="s">
        <v>89</v>
      </c>
      <c r="FV8" s="331" t="s">
        <v>100</v>
      </c>
      <c r="FW8" s="331" t="s">
        <v>68</v>
      </c>
      <c r="FX8" s="71" t="s">
        <v>91</v>
      </c>
      <c r="FY8" s="328" t="s">
        <v>92</v>
      </c>
      <c r="FZ8" s="71" t="s">
        <v>93</v>
      </c>
      <c r="GA8" s="334" t="s">
        <v>94</v>
      </c>
      <c r="GB8" s="334" t="s">
        <v>101</v>
      </c>
      <c r="GC8" s="334" t="s">
        <v>96</v>
      </c>
      <c r="GD8" s="335" t="s">
        <v>97</v>
      </c>
      <c r="GE8" s="69" t="s">
        <v>60</v>
      </c>
      <c r="GF8" s="68"/>
      <c r="GG8" s="17"/>
      <c r="GH8" s="58" t="s">
        <v>33</v>
      </c>
      <c r="GI8" s="58" t="s">
        <v>34</v>
      </c>
      <c r="GJ8" s="70" t="s">
        <v>102</v>
      </c>
      <c r="GK8" s="71" t="s">
        <v>103</v>
      </c>
      <c r="GL8" s="71" t="s">
        <v>104</v>
      </c>
      <c r="GM8" s="71" t="s">
        <v>105</v>
      </c>
      <c r="GN8" s="72" t="s">
        <v>106</v>
      </c>
      <c r="GO8" s="72" t="s">
        <v>107</v>
      </c>
      <c r="GP8" s="72" t="s">
        <v>108</v>
      </c>
      <c r="GQ8" s="72" t="s">
        <v>109</v>
      </c>
      <c r="GR8" s="73" t="s">
        <v>110</v>
      </c>
      <c r="GS8" s="59" t="s">
        <v>59</v>
      </c>
      <c r="GT8" s="74" t="s">
        <v>60</v>
      </c>
      <c r="GU8" s="75" t="s">
        <v>111</v>
      </c>
      <c r="GV8" s="76" t="s">
        <v>112</v>
      </c>
      <c r="GW8" s="77" t="s">
        <v>113</v>
      </c>
      <c r="GX8" s="76" t="s">
        <v>112</v>
      </c>
      <c r="GY8" s="74" t="s">
        <v>60</v>
      </c>
      <c r="GZ8" s="78" t="s">
        <v>114</v>
      </c>
      <c r="HA8" s="76" t="s">
        <v>112</v>
      </c>
      <c r="HB8" s="79" t="s">
        <v>115</v>
      </c>
      <c r="HC8" s="76" t="s">
        <v>112</v>
      </c>
      <c r="HD8" s="74" t="s">
        <v>60</v>
      </c>
      <c r="HE8" s="78" t="s">
        <v>116</v>
      </c>
      <c r="HF8" s="76" t="s">
        <v>112</v>
      </c>
      <c r="HG8" s="79" t="s">
        <v>117</v>
      </c>
      <c r="HH8" s="76" t="s">
        <v>112</v>
      </c>
      <c r="HI8" s="680" t="s">
        <v>118</v>
      </c>
      <c r="HJ8" s="681"/>
      <c r="HK8" s="681"/>
      <c r="HL8" s="76" t="s">
        <v>112</v>
      </c>
      <c r="HM8" s="74" t="s">
        <v>60</v>
      </c>
      <c r="HN8" s="80" t="s">
        <v>119</v>
      </c>
      <c r="HO8" s="71" t="s">
        <v>120</v>
      </c>
      <c r="HP8" s="81" t="s">
        <v>121</v>
      </c>
      <c r="HQ8" s="71" t="s">
        <v>122</v>
      </c>
      <c r="HR8" s="81" t="s">
        <v>123</v>
      </c>
      <c r="HS8" s="82" t="s">
        <v>124</v>
      </c>
      <c r="HT8" s="80" t="s">
        <v>125</v>
      </c>
      <c r="HU8" s="71" t="s">
        <v>126</v>
      </c>
      <c r="HV8" s="81" t="s">
        <v>127</v>
      </c>
      <c r="HW8" s="71" t="s">
        <v>128</v>
      </c>
      <c r="HX8" s="81" t="s">
        <v>129</v>
      </c>
      <c r="HY8" s="81" t="s">
        <v>130</v>
      </c>
      <c r="HZ8" s="80" t="s">
        <v>131</v>
      </c>
      <c r="IA8" s="71" t="s">
        <v>132</v>
      </c>
      <c r="IB8" s="81" t="s">
        <v>133</v>
      </c>
      <c r="IC8" s="71" t="s">
        <v>134</v>
      </c>
      <c r="ID8" s="81" t="s">
        <v>135</v>
      </c>
      <c r="IE8" s="73" t="s">
        <v>136</v>
      </c>
      <c r="IF8" s="81" t="s">
        <v>137</v>
      </c>
      <c r="IG8" s="71" t="s">
        <v>138</v>
      </c>
      <c r="IH8" s="81" t="s">
        <v>139</v>
      </c>
      <c r="II8" s="71" t="s">
        <v>140</v>
      </c>
      <c r="IJ8" s="81" t="s">
        <v>141</v>
      </c>
      <c r="IK8" s="73" t="s">
        <v>142</v>
      </c>
      <c r="IL8" s="81" t="s">
        <v>143</v>
      </c>
      <c r="IM8" s="71" t="s">
        <v>144</v>
      </c>
      <c r="IN8" s="81" t="s">
        <v>145</v>
      </c>
      <c r="IO8" s="71" t="s">
        <v>146</v>
      </c>
      <c r="IP8" s="81" t="s">
        <v>147</v>
      </c>
      <c r="IQ8" s="82" t="s">
        <v>148</v>
      </c>
      <c r="IR8" s="80" t="s">
        <v>149</v>
      </c>
      <c r="IS8" s="71" t="s">
        <v>150</v>
      </c>
      <c r="IT8" s="81" t="s">
        <v>151</v>
      </c>
      <c r="IU8" s="71" t="s">
        <v>152</v>
      </c>
      <c r="IV8" s="81" t="s">
        <v>153</v>
      </c>
      <c r="IW8" s="81" t="s">
        <v>154</v>
      </c>
      <c r="IX8" s="80" t="s">
        <v>155</v>
      </c>
      <c r="IY8" s="71" t="s">
        <v>156</v>
      </c>
      <c r="IZ8" s="81" t="s">
        <v>157</v>
      </c>
      <c r="JA8" s="71" t="s">
        <v>158</v>
      </c>
      <c r="JB8" s="81" t="s">
        <v>159</v>
      </c>
      <c r="JC8" s="81" t="s">
        <v>160</v>
      </c>
      <c r="JD8" s="80" t="s">
        <v>161</v>
      </c>
      <c r="JE8" s="71" t="s">
        <v>162</v>
      </c>
      <c r="JF8" s="81" t="s">
        <v>163</v>
      </c>
      <c r="JG8" s="71" t="s">
        <v>164</v>
      </c>
      <c r="JH8" s="81" t="s">
        <v>165</v>
      </c>
      <c r="JI8" s="81" t="s">
        <v>166</v>
      </c>
      <c r="JJ8" s="80" t="s">
        <v>167</v>
      </c>
      <c r="JK8" s="71" t="s">
        <v>168</v>
      </c>
      <c r="JL8" s="81" t="s">
        <v>169</v>
      </c>
      <c r="JM8" s="71" t="s">
        <v>170</v>
      </c>
      <c r="JN8" s="81" t="s">
        <v>171</v>
      </c>
      <c r="JO8" s="81" t="s">
        <v>172</v>
      </c>
      <c r="JP8" s="80" t="s">
        <v>173</v>
      </c>
      <c r="JQ8" s="71" t="s">
        <v>174</v>
      </c>
      <c r="JR8" s="81" t="s">
        <v>175</v>
      </c>
      <c r="JS8" s="71" t="s">
        <v>176</v>
      </c>
      <c r="JT8" s="81" t="s">
        <v>177</v>
      </c>
      <c r="JU8" s="81" t="s">
        <v>178</v>
      </c>
      <c r="JV8" s="80" t="s">
        <v>179</v>
      </c>
      <c r="JW8" s="71" t="s">
        <v>180</v>
      </c>
      <c r="JX8" s="81" t="s">
        <v>181</v>
      </c>
      <c r="JY8" s="71" t="s">
        <v>182</v>
      </c>
      <c r="JZ8" s="81" t="s">
        <v>183</v>
      </c>
      <c r="KA8" s="82" t="s">
        <v>184</v>
      </c>
      <c r="KB8" s="80" t="s">
        <v>185</v>
      </c>
      <c r="KC8" s="71" t="s">
        <v>186</v>
      </c>
      <c r="KD8" s="81" t="s">
        <v>187</v>
      </c>
      <c r="KE8" s="71" t="s">
        <v>188</v>
      </c>
      <c r="KF8" s="81" t="s">
        <v>189</v>
      </c>
      <c r="KG8" s="81" t="s">
        <v>190</v>
      </c>
      <c r="KH8" s="80" t="s">
        <v>191</v>
      </c>
      <c r="KI8" s="71" t="s">
        <v>192</v>
      </c>
      <c r="KJ8" s="81" t="s">
        <v>193</v>
      </c>
      <c r="KK8" s="71" t="s">
        <v>194</v>
      </c>
      <c r="KL8" s="81" t="s">
        <v>195</v>
      </c>
      <c r="KM8" s="81" t="s">
        <v>196</v>
      </c>
      <c r="KN8" s="80" t="s">
        <v>197</v>
      </c>
      <c r="KO8" s="71" t="s">
        <v>352</v>
      </c>
      <c r="KP8" s="81" t="s">
        <v>198</v>
      </c>
      <c r="KQ8" s="71" t="s">
        <v>199</v>
      </c>
      <c r="KR8" s="81" t="s">
        <v>200</v>
      </c>
      <c r="KS8" s="81" t="s">
        <v>201</v>
      </c>
      <c r="KT8" s="80" t="s">
        <v>202</v>
      </c>
      <c r="KU8" s="71" t="s">
        <v>203</v>
      </c>
      <c r="KV8" s="81" t="s">
        <v>204</v>
      </c>
      <c r="KW8" s="71" t="s">
        <v>205</v>
      </c>
      <c r="KX8" s="81" t="s">
        <v>206</v>
      </c>
      <c r="KY8" s="81" t="s">
        <v>207</v>
      </c>
      <c r="KZ8" s="80" t="s">
        <v>208</v>
      </c>
      <c r="LA8" s="71" t="s">
        <v>209</v>
      </c>
      <c r="LB8" s="81" t="s">
        <v>210</v>
      </c>
      <c r="LC8" s="71" t="s">
        <v>211</v>
      </c>
      <c r="LD8" s="81" t="s">
        <v>212</v>
      </c>
      <c r="LE8" s="81" t="s">
        <v>213</v>
      </c>
      <c r="LF8" s="80" t="s">
        <v>214</v>
      </c>
      <c r="LG8" s="71" t="s">
        <v>215</v>
      </c>
      <c r="LH8" s="81" t="s">
        <v>216</v>
      </c>
      <c r="LI8" s="71" t="s">
        <v>217</v>
      </c>
      <c r="LJ8" s="81" t="s">
        <v>218</v>
      </c>
      <c r="LK8" s="73" t="s">
        <v>219</v>
      </c>
      <c r="LL8" s="81" t="s">
        <v>220</v>
      </c>
      <c r="LM8" s="71" t="s">
        <v>221</v>
      </c>
      <c r="LN8" s="71" t="s">
        <v>222</v>
      </c>
      <c r="LO8" s="71" t="s">
        <v>223</v>
      </c>
      <c r="LP8" s="71" t="s">
        <v>224</v>
      </c>
      <c r="LQ8" s="73" t="s">
        <v>225</v>
      </c>
      <c r="LR8" s="81" t="s">
        <v>226</v>
      </c>
      <c r="LS8" s="71" t="s">
        <v>227</v>
      </c>
      <c r="LT8" s="71" t="s">
        <v>228</v>
      </c>
      <c r="LU8" s="71" t="s">
        <v>229</v>
      </c>
      <c r="LV8" s="71" t="s">
        <v>230</v>
      </c>
      <c r="LW8" s="73" t="s">
        <v>231</v>
      </c>
      <c r="LX8" s="81" t="s">
        <v>232</v>
      </c>
      <c r="LY8" s="71" t="s">
        <v>233</v>
      </c>
      <c r="LZ8" s="71" t="s">
        <v>234</v>
      </c>
      <c r="MA8" s="71" t="s">
        <v>235</v>
      </c>
      <c r="MB8" s="71" t="s">
        <v>236</v>
      </c>
      <c r="MC8" s="73" t="s">
        <v>237</v>
      </c>
      <c r="MD8" s="81" t="s">
        <v>238</v>
      </c>
      <c r="ME8" s="71" t="s">
        <v>239</v>
      </c>
      <c r="MF8" s="71" t="s">
        <v>240</v>
      </c>
      <c r="MG8" s="71" t="s">
        <v>241</v>
      </c>
      <c r="MH8" s="71" t="s">
        <v>242</v>
      </c>
      <c r="MI8" s="73" t="s">
        <v>243</v>
      </c>
      <c r="MJ8" s="81" t="s">
        <v>244</v>
      </c>
      <c r="MK8" s="71" t="s">
        <v>245</v>
      </c>
      <c r="ML8" s="71" t="s">
        <v>246</v>
      </c>
      <c r="MM8" s="71" t="s">
        <v>247</v>
      </c>
      <c r="MN8" s="71" t="s">
        <v>248</v>
      </c>
      <c r="MO8" s="73" t="s">
        <v>249</v>
      </c>
      <c r="MP8" s="81" t="s">
        <v>250</v>
      </c>
      <c r="MQ8" s="71" t="s">
        <v>251</v>
      </c>
      <c r="MR8" s="71" t="s">
        <v>252</v>
      </c>
      <c r="MS8" s="71" t="s">
        <v>253</v>
      </c>
      <c r="MT8" s="71" t="s">
        <v>254</v>
      </c>
      <c r="MU8" s="73" t="s">
        <v>255</v>
      </c>
      <c r="MV8" s="81" t="s">
        <v>256</v>
      </c>
      <c r="MW8" s="71" t="s">
        <v>257</v>
      </c>
      <c r="MX8" s="71" t="s">
        <v>258</v>
      </c>
      <c r="MY8" s="71" t="s">
        <v>259</v>
      </c>
      <c r="MZ8" s="71" t="s">
        <v>260</v>
      </c>
      <c r="NA8" s="73" t="s">
        <v>261</v>
      </c>
      <c r="NB8" s="81" t="s">
        <v>262</v>
      </c>
      <c r="NC8" s="71" t="s">
        <v>263</v>
      </c>
      <c r="ND8" s="71" t="s">
        <v>264</v>
      </c>
      <c r="NE8" s="71" t="s">
        <v>265</v>
      </c>
      <c r="NF8" s="71" t="s">
        <v>266</v>
      </c>
      <c r="NG8" s="73" t="s">
        <v>267</v>
      </c>
      <c r="NH8" s="81" t="s">
        <v>268</v>
      </c>
      <c r="NI8" s="71" t="s">
        <v>269</v>
      </c>
      <c r="NJ8" s="71" t="s">
        <v>270</v>
      </c>
      <c r="NK8" s="71" t="s">
        <v>271</v>
      </c>
      <c r="NL8" s="71" t="s">
        <v>272</v>
      </c>
      <c r="NM8" s="73" t="s">
        <v>273</v>
      </c>
      <c r="NN8" s="81" t="s">
        <v>274</v>
      </c>
      <c r="NO8" s="71" t="s">
        <v>275</v>
      </c>
      <c r="NP8" s="71" t="s">
        <v>276</v>
      </c>
      <c r="NQ8" s="71" t="s">
        <v>277</v>
      </c>
      <c r="NR8" s="71" t="s">
        <v>278</v>
      </c>
      <c r="NS8" s="73" t="s">
        <v>279</v>
      </c>
      <c r="NT8" s="81" t="s">
        <v>280</v>
      </c>
      <c r="NU8" s="71" t="s">
        <v>281</v>
      </c>
      <c r="NV8" s="71" t="s">
        <v>282</v>
      </c>
      <c r="NW8" s="71" t="s">
        <v>283</v>
      </c>
      <c r="NX8" s="71" t="s">
        <v>284</v>
      </c>
      <c r="NY8" s="73" t="s">
        <v>285</v>
      </c>
      <c r="NZ8" s="81" t="s">
        <v>286</v>
      </c>
      <c r="OA8" s="71" t="s">
        <v>287</v>
      </c>
      <c r="OB8" s="71" t="s">
        <v>288</v>
      </c>
      <c r="OC8" s="71" t="s">
        <v>289</v>
      </c>
      <c r="OD8" s="71" t="s">
        <v>290</v>
      </c>
      <c r="OE8" s="73" t="s">
        <v>291</v>
      </c>
      <c r="OF8" s="81" t="s">
        <v>292</v>
      </c>
      <c r="OG8" s="71" t="s">
        <v>293</v>
      </c>
      <c r="OH8" s="71" t="s">
        <v>294</v>
      </c>
      <c r="OI8" s="71" t="s">
        <v>295</v>
      </c>
      <c r="OJ8" s="71" t="s">
        <v>296</v>
      </c>
      <c r="OK8" s="73" t="s">
        <v>297</v>
      </c>
      <c r="OL8" s="81" t="s">
        <v>298</v>
      </c>
      <c r="OM8" s="71" t="s">
        <v>299</v>
      </c>
      <c r="ON8" s="71" t="s">
        <v>300</v>
      </c>
      <c r="OO8" s="71" t="s">
        <v>301</v>
      </c>
      <c r="OP8" s="71" t="s">
        <v>302</v>
      </c>
      <c r="OQ8" s="73" t="s">
        <v>303</v>
      </c>
      <c r="OR8" s="81" t="s">
        <v>304</v>
      </c>
      <c r="OS8" s="71" t="s">
        <v>305</v>
      </c>
      <c r="OT8" s="71" t="s">
        <v>306</v>
      </c>
      <c r="OU8" s="71" t="s">
        <v>307</v>
      </c>
      <c r="OV8" s="71" t="s">
        <v>308</v>
      </c>
      <c r="OW8" s="73" t="s">
        <v>309</v>
      </c>
      <c r="OX8" s="81" t="s">
        <v>310</v>
      </c>
      <c r="OY8" s="71" t="s">
        <v>311</v>
      </c>
      <c r="OZ8" s="71" t="s">
        <v>312</v>
      </c>
      <c r="PA8" s="71" t="s">
        <v>313</v>
      </c>
      <c r="PB8" s="71" t="s">
        <v>314</v>
      </c>
      <c r="PC8" s="73" t="s">
        <v>315</v>
      </c>
      <c r="PD8" s="81" t="s">
        <v>316</v>
      </c>
      <c r="PE8" s="71" t="s">
        <v>317</v>
      </c>
      <c r="PF8" s="71" t="s">
        <v>318</v>
      </c>
      <c r="PG8" s="71" t="s">
        <v>319</v>
      </c>
      <c r="PH8" s="71" t="s">
        <v>320</v>
      </c>
      <c r="PI8" s="73" t="s">
        <v>321</v>
      </c>
      <c r="PJ8" s="682" t="s">
        <v>322</v>
      </c>
      <c r="PK8" s="683"/>
      <c r="PL8" s="683"/>
      <c r="PM8" s="683"/>
      <c r="PN8" s="683"/>
      <c r="PO8" s="684"/>
      <c r="PP8" s="685" t="s">
        <v>323</v>
      </c>
      <c r="PQ8" s="686"/>
      <c r="PR8" s="686"/>
      <c r="PS8" s="686"/>
      <c r="PT8" s="686"/>
      <c r="PU8" s="687"/>
      <c r="PV8" s="688" t="s">
        <v>324</v>
      </c>
      <c r="PW8" s="689"/>
      <c r="PX8" s="689"/>
      <c r="PY8" s="689"/>
      <c r="PZ8" s="689"/>
      <c r="QA8" s="690"/>
      <c r="QB8" s="691" t="s">
        <v>325</v>
      </c>
      <c r="QC8" s="692"/>
      <c r="QD8" s="693" t="s">
        <v>326</v>
      </c>
      <c r="QE8" s="694"/>
      <c r="QF8" s="675" t="s">
        <v>327</v>
      </c>
      <c r="QG8" s="676"/>
      <c r="QH8" s="672" t="s">
        <v>328</v>
      </c>
      <c r="QI8" s="673"/>
      <c r="QJ8" s="673"/>
      <c r="QK8" s="674"/>
      <c r="QL8" s="672" t="s">
        <v>329</v>
      </c>
      <c r="QM8" s="674"/>
      <c r="QN8" s="672" t="s">
        <v>330</v>
      </c>
      <c r="QO8" s="674"/>
      <c r="QP8" s="677" t="s">
        <v>331</v>
      </c>
      <c r="QQ8" s="678"/>
      <c r="QR8" s="677" t="s">
        <v>328</v>
      </c>
      <c r="QS8" s="679"/>
      <c r="QT8" s="679"/>
      <c r="QU8" s="679"/>
      <c r="QV8" s="679"/>
      <c r="QW8" s="679"/>
      <c r="QX8" s="679"/>
      <c r="QY8" s="678"/>
      <c r="QZ8" s="672" t="s">
        <v>329</v>
      </c>
      <c r="RA8" s="674"/>
      <c r="RB8" s="672" t="s">
        <v>330</v>
      </c>
      <c r="RC8" s="674"/>
      <c r="RD8" s="677" t="s">
        <v>332</v>
      </c>
      <c r="RE8" s="678"/>
      <c r="RF8" s="677" t="s">
        <v>328</v>
      </c>
      <c r="RG8" s="679"/>
      <c r="RH8" s="679"/>
      <c r="RI8" s="679"/>
      <c r="RJ8" s="679"/>
      <c r="RK8" s="679"/>
      <c r="RL8" s="679"/>
      <c r="RM8" s="679"/>
      <c r="RN8" s="679"/>
      <c r="RO8" s="679"/>
      <c r="RP8" s="678"/>
      <c r="RQ8" s="672" t="s">
        <v>329</v>
      </c>
      <c r="RR8" s="673"/>
      <c r="RS8" s="674"/>
      <c r="RT8" s="672" t="s">
        <v>330</v>
      </c>
      <c r="RU8" s="673"/>
      <c r="RV8" s="674"/>
      <c r="RW8" s="677" t="s">
        <v>333</v>
      </c>
      <c r="RX8" s="678"/>
      <c r="RY8" s="677" t="s">
        <v>328</v>
      </c>
      <c r="RZ8" s="679"/>
      <c r="SA8" s="679"/>
      <c r="SB8" s="679"/>
      <c r="SC8" s="679"/>
      <c r="SD8" s="679"/>
      <c r="SE8" s="679"/>
      <c r="SF8" s="679"/>
      <c r="SG8" s="679"/>
      <c r="SH8" s="679"/>
      <c r="SI8" s="679"/>
      <c r="SJ8" s="679"/>
      <c r="SK8" s="678"/>
      <c r="SL8" s="672" t="s">
        <v>329</v>
      </c>
      <c r="SM8" s="673"/>
      <c r="SN8" s="674"/>
      <c r="SO8" s="672" t="s">
        <v>330</v>
      </c>
      <c r="SP8" s="673"/>
      <c r="SQ8" s="673"/>
      <c r="SR8" s="674"/>
      <c r="SS8" s="677" t="s">
        <v>334</v>
      </c>
      <c r="ST8" s="678"/>
      <c r="SU8" s="677" t="s">
        <v>328</v>
      </c>
      <c r="SV8" s="679"/>
      <c r="SW8" s="679"/>
      <c r="SX8" s="679"/>
      <c r="SY8" s="679"/>
      <c r="SZ8" s="679"/>
      <c r="TA8" s="679"/>
      <c r="TB8" s="679"/>
      <c r="TC8" s="679"/>
      <c r="TD8" s="679"/>
      <c r="TE8" s="679"/>
      <c r="TF8" s="679"/>
      <c r="TG8" s="679"/>
      <c r="TH8" s="679"/>
      <c r="TI8" s="679"/>
      <c r="TJ8" s="678"/>
      <c r="TK8" s="702" t="s">
        <v>322</v>
      </c>
      <c r="TL8" s="703"/>
      <c r="TM8" s="704" t="s">
        <v>323</v>
      </c>
      <c r="TN8" s="705"/>
      <c r="TO8" s="706" t="s">
        <v>324</v>
      </c>
      <c r="TP8" s="707"/>
      <c r="TQ8" s="708" t="s">
        <v>335</v>
      </c>
      <c r="TR8" s="709"/>
      <c r="TS8" s="709"/>
      <c r="TT8" s="709"/>
      <c r="TU8" s="709"/>
      <c r="TV8" s="709"/>
      <c r="TW8" s="709"/>
      <c r="TX8" s="709"/>
      <c r="TY8" s="709"/>
      <c r="TZ8" s="710"/>
      <c r="UA8" s="711" t="s">
        <v>336</v>
      </c>
      <c r="UB8" s="712"/>
      <c r="UC8" s="712"/>
      <c r="UD8" s="712"/>
      <c r="UE8" s="712"/>
      <c r="UF8" s="712"/>
      <c r="UG8" s="712"/>
      <c r="UH8" s="712"/>
      <c r="UI8" s="712"/>
      <c r="UJ8" s="713"/>
      <c r="UK8" s="714" t="s">
        <v>337</v>
      </c>
      <c r="UL8" s="715"/>
      <c r="UM8" s="715"/>
      <c r="UN8" s="715"/>
      <c r="UO8" s="715"/>
      <c r="UP8" s="715"/>
      <c r="UQ8" s="715"/>
      <c r="UR8" s="715"/>
      <c r="US8" s="715"/>
      <c r="UT8" s="716"/>
      <c r="UU8" s="696" t="s">
        <v>338</v>
      </c>
      <c r="UV8" s="697"/>
      <c r="UW8" s="697"/>
      <c r="UX8" s="697"/>
      <c r="UY8" s="697"/>
      <c r="UZ8" s="697"/>
      <c r="VA8" s="697"/>
      <c r="VB8" s="697"/>
      <c r="VC8" s="697"/>
      <c r="VD8" s="698"/>
      <c r="VE8" s="699" t="s">
        <v>339</v>
      </c>
      <c r="VF8" s="700"/>
      <c r="VG8" s="700"/>
      <c r="VH8" s="700"/>
      <c r="VI8" s="700"/>
      <c r="VJ8" s="700"/>
      <c r="VK8" s="700"/>
      <c r="VL8" s="700"/>
      <c r="VM8" s="700"/>
      <c r="VN8" s="700"/>
      <c r="VO8" s="700"/>
      <c r="VP8" s="700"/>
      <c r="VQ8" s="700"/>
      <c r="VR8" s="700"/>
      <c r="VS8" s="700"/>
      <c r="VT8" s="700"/>
      <c r="VU8" s="700"/>
      <c r="VV8" s="700"/>
      <c r="VW8" s="700"/>
      <c r="VX8" s="700"/>
      <c r="VY8" s="700"/>
      <c r="VZ8" s="700"/>
      <c r="WA8" s="700"/>
      <c r="WB8" s="701"/>
      <c r="WC8" s="83" t="s">
        <v>340</v>
      </c>
      <c r="WD8" s="84"/>
      <c r="WE8" s="702" t="s">
        <v>322</v>
      </c>
      <c r="WF8" s="703"/>
      <c r="WG8" s="704" t="s">
        <v>323</v>
      </c>
      <c r="WH8" s="705"/>
      <c r="WI8" s="706" t="s">
        <v>324</v>
      </c>
      <c r="WJ8" s="707"/>
      <c r="WK8" s="85" t="s">
        <v>341</v>
      </c>
      <c r="WL8" s="76" t="s">
        <v>112</v>
      </c>
      <c r="WM8" s="680" t="s">
        <v>118</v>
      </c>
      <c r="WN8" s="681"/>
      <c r="WO8" s="681"/>
      <c r="WP8" s="76" t="s">
        <v>112</v>
      </c>
      <c r="WQ8" s="59" t="s">
        <v>60</v>
      </c>
      <c r="WR8" s="68"/>
      <c r="WS8" s="57"/>
    </row>
    <row r="9" spans="1:617" s="2" customFormat="1" hidden="1" x14ac:dyDescent="0.3">
      <c r="A9" s="423" t="s">
        <v>359</v>
      </c>
      <c r="B9" s="465" t="s">
        <v>342</v>
      </c>
      <c r="C9" s="462">
        <v>35781</v>
      </c>
      <c r="D9" s="110">
        <v>39722</v>
      </c>
      <c r="E9" s="111">
        <v>42532</v>
      </c>
      <c r="F9" s="111"/>
      <c r="G9" s="113">
        <v>19</v>
      </c>
      <c r="H9" s="340"/>
      <c r="I9" s="342"/>
      <c r="J9" s="386"/>
      <c r="K9" s="337"/>
      <c r="L9" s="342"/>
      <c r="M9" s="429"/>
      <c r="N9" s="430"/>
      <c r="O9" s="430"/>
      <c r="P9" s="431"/>
      <c r="Q9" s="432"/>
      <c r="R9" s="432"/>
      <c r="S9" s="433"/>
      <c r="T9" s="434"/>
      <c r="U9" s="430"/>
      <c r="V9" s="454"/>
      <c r="W9" s="455"/>
      <c r="X9" s="430"/>
      <c r="Y9" s="430"/>
      <c r="Z9" s="342"/>
      <c r="AA9" s="342" t="s">
        <v>349</v>
      </c>
      <c r="AB9" s="355"/>
      <c r="AC9" s="355"/>
      <c r="AD9" s="355"/>
      <c r="AE9" s="387"/>
      <c r="AF9" s="358"/>
      <c r="AG9" s="339"/>
      <c r="AH9" s="338"/>
      <c r="AI9" s="339"/>
      <c r="AJ9" s="339"/>
      <c r="AK9" s="339"/>
      <c r="AL9" s="339"/>
      <c r="AM9" s="339"/>
      <c r="AN9" s="355"/>
      <c r="AO9" s="355"/>
      <c r="AP9" s="355"/>
      <c r="AQ9" s="356"/>
      <c r="AR9" s="340"/>
      <c r="AS9" s="342"/>
      <c r="AT9" s="386"/>
      <c r="AU9" s="339"/>
      <c r="AV9" s="342"/>
      <c r="AW9" s="342"/>
      <c r="AX9" s="342"/>
      <c r="AY9" s="342"/>
      <c r="AZ9" s="355"/>
      <c r="BA9" s="355"/>
      <c r="BB9" s="355"/>
      <c r="BC9" s="387"/>
      <c r="BD9" s="340"/>
      <c r="BE9" s="342"/>
      <c r="BF9" s="386"/>
      <c r="BG9" s="337"/>
      <c r="BH9" s="342"/>
      <c r="BI9" s="342"/>
      <c r="BJ9" s="342"/>
      <c r="BK9" s="342"/>
      <c r="BL9" s="355"/>
      <c r="BM9" s="355"/>
      <c r="BN9" s="86"/>
      <c r="BO9" s="189"/>
      <c r="BP9" s="340"/>
      <c r="BQ9" s="342"/>
      <c r="BR9" s="386"/>
      <c r="BS9" s="337"/>
      <c r="BT9" s="342"/>
      <c r="BU9" s="342"/>
      <c r="BV9" s="342"/>
      <c r="BW9" s="342"/>
      <c r="BX9" s="355"/>
      <c r="BY9" s="355"/>
      <c r="BZ9" s="86"/>
      <c r="CA9" s="189"/>
      <c r="CB9" s="340"/>
      <c r="CC9" s="342"/>
      <c r="CD9" s="386"/>
      <c r="CE9" s="337"/>
      <c r="CF9" s="342"/>
      <c r="CG9" s="342"/>
      <c r="CH9" s="342"/>
      <c r="CI9" s="342"/>
      <c r="CJ9" s="355"/>
      <c r="CK9" s="355"/>
      <c r="CL9" s="86"/>
      <c r="CM9" s="189"/>
      <c r="CN9" s="340"/>
      <c r="CO9" s="342"/>
      <c r="CP9" s="386"/>
      <c r="CQ9" s="337"/>
      <c r="CR9" s="342"/>
      <c r="CS9" s="342"/>
      <c r="CT9" s="342"/>
      <c r="CU9" s="342"/>
      <c r="CV9" s="355"/>
      <c r="CW9" s="355"/>
      <c r="CX9" s="86"/>
      <c r="CY9" s="189"/>
      <c r="CZ9" s="88"/>
      <c r="DA9" s="89"/>
      <c r="DB9" s="423" t="s">
        <v>359</v>
      </c>
      <c r="DC9" s="426" t="str">
        <f>B9</f>
        <v>Rover</v>
      </c>
      <c r="DD9" s="111">
        <v>35781</v>
      </c>
      <c r="DE9" s="116">
        <f t="shared" ref="DE9:DF16" si="0">D9</f>
        <v>39722</v>
      </c>
      <c r="DF9" s="116">
        <f t="shared" si="0"/>
        <v>42532</v>
      </c>
      <c r="DG9" s="117">
        <f ca="1">(YEAR(NOW())-YEAR(DE9))*12+MONTH(NOW())-MONTH(DE9)</f>
        <v>213</v>
      </c>
      <c r="DH9" s="471"/>
      <c r="DI9" s="472"/>
      <c r="DJ9" s="472"/>
      <c r="DK9" s="473"/>
      <c r="DL9" s="472"/>
      <c r="DM9" s="472"/>
      <c r="DN9" s="473"/>
      <c r="DO9" s="473"/>
      <c r="DP9" s="474"/>
      <c r="DQ9" s="475"/>
      <c r="DR9" s="116">
        <v>39783</v>
      </c>
      <c r="DS9" s="123">
        <v>42637</v>
      </c>
      <c r="DT9" s="439"/>
      <c r="DU9" s="440"/>
      <c r="DV9" s="436"/>
      <c r="DW9" s="440"/>
      <c r="DX9" s="436"/>
      <c r="DY9" s="438"/>
      <c r="DZ9" s="438"/>
      <c r="EA9" s="438"/>
      <c r="EB9" s="441"/>
      <c r="EC9" s="441"/>
      <c r="ED9" s="441"/>
      <c r="EE9" s="479"/>
      <c r="EF9" s="480"/>
      <c r="EG9" s="441"/>
      <c r="EH9" s="442"/>
      <c r="EI9" s="130"/>
      <c r="EJ9" s="443"/>
      <c r="EK9" s="371"/>
      <c r="EL9" s="371"/>
      <c r="EM9" s="371"/>
      <c r="EN9" s="371"/>
      <c r="EO9" s="477"/>
      <c r="EP9" s="478"/>
      <c r="EQ9" s="477"/>
      <c r="ER9" s="341"/>
      <c r="ES9" s="341"/>
      <c r="ET9" s="341"/>
      <c r="EU9" s="341"/>
      <c r="EV9" s="391"/>
      <c r="EW9" s="371"/>
      <c r="EX9" s="444"/>
      <c r="EY9" s="111"/>
      <c r="EZ9" s="409"/>
      <c r="FA9" s="393"/>
      <c r="FB9" s="396"/>
      <c r="FC9" s="396">
        <f>PS9</f>
        <v>0</v>
      </c>
      <c r="FD9" s="395">
        <f>PW9</f>
        <v>0</v>
      </c>
      <c r="FE9" s="393"/>
      <c r="FF9" s="364"/>
      <c r="FG9" s="410"/>
      <c r="FH9" s="364">
        <f>RX9</f>
        <v>0</v>
      </c>
      <c r="FI9" s="396"/>
      <c r="FJ9" s="396"/>
      <c r="FK9" s="396"/>
      <c r="FL9" s="396"/>
      <c r="FM9" s="364"/>
      <c r="FN9" s="411"/>
      <c r="FO9" s="397"/>
      <c r="FP9" s="110"/>
      <c r="FQ9" s="132">
        <f>WL9</f>
        <v>0</v>
      </c>
      <c r="FR9" s="126">
        <f>WP9</f>
        <v>0</v>
      </c>
      <c r="FS9" s="125">
        <f>PY9</f>
        <v>0</v>
      </c>
      <c r="FT9" s="126">
        <f>WB9</f>
        <v>0</v>
      </c>
      <c r="FU9" s="127">
        <f>SN9</f>
        <v>0</v>
      </c>
      <c r="FV9" s="127">
        <f>SR9</f>
        <v>0</v>
      </c>
      <c r="FW9" s="127">
        <f>ST9</f>
        <v>0</v>
      </c>
      <c r="FX9" s="128">
        <f>UJ9</f>
        <v>0</v>
      </c>
      <c r="FY9" s="128">
        <f>UT9</f>
        <v>0</v>
      </c>
      <c r="FZ9" s="128">
        <f>VD9</f>
        <v>0</v>
      </c>
      <c r="GA9" s="128">
        <f>QG9</f>
        <v>0</v>
      </c>
      <c r="GB9" s="127">
        <f>TJ9</f>
        <v>0</v>
      </c>
      <c r="GC9" s="133">
        <f>TP9</f>
        <v>0</v>
      </c>
      <c r="GD9" s="129">
        <f>WJ9</f>
        <v>0</v>
      </c>
      <c r="GE9" s="110"/>
      <c r="GF9" s="88"/>
      <c r="GG9" s="91"/>
      <c r="GH9" s="110" t="s">
        <v>359</v>
      </c>
      <c r="GI9" s="90" t="str">
        <f>B9</f>
        <v>Rover</v>
      </c>
      <c r="GJ9" s="456"/>
      <c r="GK9" s="457"/>
      <c r="GL9" s="457"/>
      <c r="GM9" s="457"/>
      <c r="GN9" s="457"/>
      <c r="GO9" s="457"/>
      <c r="GP9" s="457"/>
      <c r="GQ9" s="457"/>
      <c r="GR9" s="457"/>
      <c r="GS9" s="469">
        <v>43374</v>
      </c>
      <c r="GT9" s="135">
        <f>DS9</f>
        <v>42637</v>
      </c>
      <c r="GU9" s="136">
        <f>COUNTIF(HN9:LK9,"X")</f>
        <v>47</v>
      </c>
      <c r="GV9" s="137"/>
      <c r="GW9" s="136">
        <f>COUNTIF(LL9:PI9,"X")</f>
        <v>32</v>
      </c>
      <c r="GX9" s="137"/>
      <c r="GY9" s="135">
        <f>EI9</f>
        <v>0</v>
      </c>
      <c r="GZ9" s="136">
        <f>COUNTIF(HN9:LK9,"X")-12</f>
        <v>35</v>
      </c>
      <c r="HA9" s="137"/>
      <c r="HB9" s="136">
        <f>COUNTIF(LL9:PI9,"X")-9</f>
        <v>23</v>
      </c>
      <c r="HC9" s="137"/>
      <c r="HD9" s="138">
        <f>EY9</f>
        <v>0</v>
      </c>
      <c r="HE9" s="136">
        <f>COUNTIF(HN9:LK9,"X")-21</f>
        <v>26</v>
      </c>
      <c r="HF9" s="137"/>
      <c r="HG9" s="136">
        <f>COUNTIF(LL9:PI9,"X")-15</f>
        <v>17</v>
      </c>
      <c r="HH9" s="139"/>
      <c r="HI9" s="95"/>
      <c r="HJ9" s="95"/>
      <c r="HK9" s="95"/>
      <c r="HL9" s="140"/>
      <c r="HM9" s="135">
        <f>FP9</f>
        <v>0</v>
      </c>
      <c r="HN9" s="340" t="s">
        <v>348</v>
      </c>
      <c r="HO9" s="337" t="s">
        <v>348</v>
      </c>
      <c r="HP9" s="340" t="s">
        <v>348</v>
      </c>
      <c r="HQ9" s="337" t="s">
        <v>348</v>
      </c>
      <c r="HR9" s="337"/>
      <c r="HS9" s="388" t="s">
        <v>348</v>
      </c>
      <c r="HT9" s="340" t="s">
        <v>348</v>
      </c>
      <c r="HU9" s="337" t="s">
        <v>348</v>
      </c>
      <c r="HV9" s="340" t="s">
        <v>348</v>
      </c>
      <c r="HW9" s="337"/>
      <c r="HX9" s="337" t="s">
        <v>348</v>
      </c>
      <c r="HY9" s="388" t="s">
        <v>348</v>
      </c>
      <c r="HZ9" s="340" t="s">
        <v>348</v>
      </c>
      <c r="IA9" s="337" t="s">
        <v>348</v>
      </c>
      <c r="IB9" s="141" t="s">
        <v>348</v>
      </c>
      <c r="IC9" s="142"/>
      <c r="ID9" s="142"/>
      <c r="IE9" s="121" t="s">
        <v>348</v>
      </c>
      <c r="IF9" s="340" t="s">
        <v>348</v>
      </c>
      <c r="IG9" s="337" t="s">
        <v>348</v>
      </c>
      <c r="IH9" s="340" t="s">
        <v>348</v>
      </c>
      <c r="II9" s="337"/>
      <c r="IJ9" s="337"/>
      <c r="IK9" s="388"/>
      <c r="IL9" s="340" t="s">
        <v>348</v>
      </c>
      <c r="IM9" s="337" t="s">
        <v>348</v>
      </c>
      <c r="IN9" s="340" t="s">
        <v>348</v>
      </c>
      <c r="IO9" s="337" t="s">
        <v>348</v>
      </c>
      <c r="IP9" s="337"/>
      <c r="IQ9" s="388" t="s">
        <v>348</v>
      </c>
      <c r="IR9" s="340" t="s">
        <v>348</v>
      </c>
      <c r="IS9" s="337"/>
      <c r="IT9" s="340"/>
      <c r="IU9" s="337" t="s">
        <v>348</v>
      </c>
      <c r="IV9" s="337"/>
      <c r="IW9" s="390"/>
      <c r="IX9" s="383" t="s">
        <v>348</v>
      </c>
      <c r="IY9" s="337" t="s">
        <v>348</v>
      </c>
      <c r="IZ9" s="340"/>
      <c r="JA9" s="337"/>
      <c r="JB9" s="337" t="s">
        <v>348</v>
      </c>
      <c r="JC9" s="388"/>
      <c r="JD9" s="340"/>
      <c r="JE9" s="142"/>
      <c r="JF9" s="141" t="s">
        <v>348</v>
      </c>
      <c r="JG9" s="142" t="s">
        <v>348</v>
      </c>
      <c r="JH9" s="142"/>
      <c r="JI9" s="390"/>
      <c r="JJ9" s="383"/>
      <c r="JK9" s="337"/>
      <c r="JL9" s="340"/>
      <c r="JM9" s="337"/>
      <c r="JN9" s="337"/>
      <c r="JO9" s="388"/>
      <c r="JP9" s="340" t="s">
        <v>348</v>
      </c>
      <c r="JQ9" s="337"/>
      <c r="JR9" s="340"/>
      <c r="JS9" s="337" t="s">
        <v>348</v>
      </c>
      <c r="JT9" s="337"/>
      <c r="JU9" s="390" t="s">
        <v>348</v>
      </c>
      <c r="JV9" s="383" t="s">
        <v>348</v>
      </c>
      <c r="JW9" s="337"/>
      <c r="JX9" s="340" t="s">
        <v>348</v>
      </c>
      <c r="JY9" s="337" t="s">
        <v>348</v>
      </c>
      <c r="JZ9" s="337"/>
      <c r="KA9" s="388"/>
      <c r="KB9" s="340" t="s">
        <v>348</v>
      </c>
      <c r="KC9" s="337" t="s">
        <v>348</v>
      </c>
      <c r="KD9" s="340" t="s">
        <v>348</v>
      </c>
      <c r="KE9" s="337" t="s">
        <v>348</v>
      </c>
      <c r="KF9" s="337" t="s">
        <v>348</v>
      </c>
      <c r="KG9" s="390"/>
      <c r="KH9" s="383"/>
      <c r="KI9" s="337"/>
      <c r="KJ9" s="340"/>
      <c r="KK9" s="337"/>
      <c r="KL9" s="337"/>
      <c r="KM9" s="121"/>
      <c r="KN9" s="141"/>
      <c r="KO9" s="142"/>
      <c r="KP9" s="141"/>
      <c r="KQ9" s="142"/>
      <c r="KR9" s="142"/>
      <c r="KS9" s="177"/>
      <c r="KT9" s="383" t="s">
        <v>348</v>
      </c>
      <c r="KU9" s="337" t="s">
        <v>348</v>
      </c>
      <c r="KV9" s="340"/>
      <c r="KW9" s="337"/>
      <c r="KX9" s="337" t="s">
        <v>348</v>
      </c>
      <c r="KY9" s="388"/>
      <c r="KZ9" s="340"/>
      <c r="LA9" s="337"/>
      <c r="LB9" s="340" t="s">
        <v>348</v>
      </c>
      <c r="LC9" s="337"/>
      <c r="LD9" s="337" t="s">
        <v>348</v>
      </c>
      <c r="LE9" s="390" t="s">
        <v>348</v>
      </c>
      <c r="LF9" s="383"/>
      <c r="LG9" s="337" t="s">
        <v>348</v>
      </c>
      <c r="LH9" s="340"/>
      <c r="LI9" s="337"/>
      <c r="LJ9" s="337"/>
      <c r="LK9" s="388"/>
      <c r="LL9" s="384"/>
      <c r="LM9" s="337" t="s">
        <v>348</v>
      </c>
      <c r="LN9" s="384" t="s">
        <v>348</v>
      </c>
      <c r="LO9" s="337"/>
      <c r="LP9" s="384" t="s">
        <v>348</v>
      </c>
      <c r="LQ9" s="388"/>
      <c r="LR9" s="384" t="s">
        <v>348</v>
      </c>
      <c r="LS9" s="337" t="s">
        <v>348</v>
      </c>
      <c r="LT9" s="384" t="s">
        <v>348</v>
      </c>
      <c r="LU9" s="337"/>
      <c r="LV9" s="384" t="s">
        <v>348</v>
      </c>
      <c r="LW9" s="388"/>
      <c r="LX9" s="384" t="s">
        <v>348</v>
      </c>
      <c r="LY9" s="337" t="s">
        <v>348</v>
      </c>
      <c r="LZ9" s="384" t="s">
        <v>348</v>
      </c>
      <c r="MA9" s="142"/>
      <c r="MB9" s="143"/>
      <c r="MC9" s="121" t="s">
        <v>348</v>
      </c>
      <c r="MD9" s="143" t="s">
        <v>348</v>
      </c>
      <c r="ME9" s="337"/>
      <c r="MF9" s="384" t="s">
        <v>348</v>
      </c>
      <c r="MG9" s="337"/>
      <c r="MH9" s="384" t="s">
        <v>348</v>
      </c>
      <c r="MI9" s="388"/>
      <c r="MJ9" s="384"/>
      <c r="MK9" s="337"/>
      <c r="ML9" s="384" t="s">
        <v>348</v>
      </c>
      <c r="MM9" s="337"/>
      <c r="MN9" s="384"/>
      <c r="MO9" s="388"/>
      <c r="MP9" s="384"/>
      <c r="MQ9" s="337"/>
      <c r="MR9" s="384"/>
      <c r="MS9" s="337"/>
      <c r="MT9" s="384"/>
      <c r="MU9" s="388"/>
      <c r="MV9" s="384"/>
      <c r="MW9" s="337"/>
      <c r="MX9" s="384"/>
      <c r="MY9" s="337"/>
      <c r="MZ9" s="384"/>
      <c r="NA9" s="388"/>
      <c r="NB9" s="384"/>
      <c r="NC9" s="337" t="s">
        <v>348</v>
      </c>
      <c r="ND9" s="384"/>
      <c r="NE9" s="337"/>
      <c r="NF9" s="384"/>
      <c r="NG9" s="388"/>
      <c r="NH9" s="384"/>
      <c r="NI9" s="337"/>
      <c r="NJ9" s="384"/>
      <c r="NK9" s="337"/>
      <c r="NL9" s="384"/>
      <c r="NM9" s="388"/>
      <c r="NN9" s="384"/>
      <c r="NO9" s="337"/>
      <c r="NP9" s="384" t="s">
        <v>348</v>
      </c>
      <c r="NQ9" s="337"/>
      <c r="NR9" s="384"/>
      <c r="NS9" s="388" t="s">
        <v>348</v>
      </c>
      <c r="NT9" s="384"/>
      <c r="NU9" s="337"/>
      <c r="NV9" s="384"/>
      <c r="NW9" s="337"/>
      <c r="NX9" s="384"/>
      <c r="NY9" s="388"/>
      <c r="NZ9" s="384" t="s">
        <v>348</v>
      </c>
      <c r="OA9" s="337" t="s">
        <v>348</v>
      </c>
      <c r="OB9" s="384"/>
      <c r="OC9" s="337"/>
      <c r="OD9" s="384"/>
      <c r="OE9" s="388" t="s">
        <v>348</v>
      </c>
      <c r="OF9" s="143"/>
      <c r="OG9" s="142"/>
      <c r="OH9" s="143"/>
      <c r="OI9" s="142"/>
      <c r="OJ9" s="143"/>
      <c r="OK9" s="121"/>
      <c r="OL9" s="143" t="s">
        <v>348</v>
      </c>
      <c r="OM9" s="142" t="s">
        <v>348</v>
      </c>
      <c r="ON9" s="143"/>
      <c r="OO9" s="142"/>
      <c r="OP9" s="143"/>
      <c r="OQ9" s="121"/>
      <c r="OR9" s="143" t="s">
        <v>348</v>
      </c>
      <c r="OS9" s="142"/>
      <c r="OT9" s="384" t="s">
        <v>348</v>
      </c>
      <c r="OU9" s="337"/>
      <c r="OV9" s="384"/>
      <c r="OW9" s="388"/>
      <c r="OX9" s="384" t="s">
        <v>348</v>
      </c>
      <c r="OY9" s="337" t="s">
        <v>348</v>
      </c>
      <c r="OZ9" s="384" t="s">
        <v>348</v>
      </c>
      <c r="PA9" s="337"/>
      <c r="PB9" s="384" t="s">
        <v>348</v>
      </c>
      <c r="PC9" s="388" t="s">
        <v>348</v>
      </c>
      <c r="PD9" s="384"/>
      <c r="PE9" s="337"/>
      <c r="PF9" s="384"/>
      <c r="PG9" s="337"/>
      <c r="PH9" s="384" t="s">
        <v>348</v>
      </c>
      <c r="PI9" s="388" t="s">
        <v>348</v>
      </c>
      <c r="PJ9" s="445" t="s">
        <v>364</v>
      </c>
      <c r="PK9" s="101"/>
      <c r="PL9" s="446" t="s">
        <v>365</v>
      </c>
      <c r="PM9" s="101"/>
      <c r="PN9" s="100"/>
      <c r="PO9" s="146"/>
      <c r="PP9" s="476" t="s">
        <v>364</v>
      </c>
      <c r="PQ9" s="147"/>
      <c r="PR9" s="100"/>
      <c r="PS9" s="147"/>
      <c r="PT9" s="100"/>
      <c r="PU9" s="149"/>
      <c r="PV9" s="100"/>
      <c r="PW9" s="150"/>
      <c r="PX9" s="100"/>
      <c r="PY9" s="150"/>
      <c r="PZ9" s="100"/>
      <c r="QA9" s="150"/>
      <c r="QB9" s="399"/>
      <c r="QC9" s="146"/>
      <c r="QD9" s="152"/>
      <c r="QE9" s="149"/>
      <c r="QF9" s="153"/>
      <c r="QG9" s="154"/>
      <c r="QH9" s="447"/>
      <c r="QI9" s="400"/>
      <c r="QJ9" s="401"/>
      <c r="QK9" s="158"/>
      <c r="QL9" s="448" t="s">
        <v>369</v>
      </c>
      <c r="QM9" s="160"/>
      <c r="QN9" s="435" t="s">
        <v>371</v>
      </c>
      <c r="QO9" s="160"/>
      <c r="QP9" s="159"/>
      <c r="QQ9" s="160"/>
      <c r="QR9" s="448"/>
      <c r="QS9" s="402"/>
      <c r="QT9" s="402"/>
      <c r="QU9" s="403"/>
      <c r="QV9" s="403"/>
      <c r="QW9" s="403"/>
      <c r="QX9" s="402"/>
      <c r="QY9" s="160"/>
      <c r="QZ9" s="159"/>
      <c r="RA9" s="163"/>
      <c r="RB9" s="159"/>
      <c r="RC9" s="163"/>
      <c r="RD9" s="159"/>
      <c r="RE9" s="163"/>
      <c r="RF9" s="159"/>
      <c r="RG9" s="185"/>
      <c r="RH9" s="185"/>
      <c r="RI9" s="185"/>
      <c r="RJ9" s="185"/>
      <c r="RK9" s="185"/>
      <c r="RL9" s="192"/>
      <c r="RM9" s="192"/>
      <c r="RN9" s="192"/>
      <c r="RO9" s="185"/>
      <c r="RP9" s="163"/>
      <c r="RQ9" s="155"/>
      <c r="RR9" s="164"/>
      <c r="RS9" s="165"/>
      <c r="RT9" s="159"/>
      <c r="RU9" s="164"/>
      <c r="RV9" s="165"/>
      <c r="RW9" s="159"/>
      <c r="RX9" s="165"/>
      <c r="RY9" s="159"/>
      <c r="RZ9" s="185"/>
      <c r="SA9" s="185"/>
      <c r="SB9" s="185"/>
      <c r="SC9" s="185"/>
      <c r="SD9" s="185"/>
      <c r="SE9" s="192"/>
      <c r="SF9" s="192"/>
      <c r="SG9" s="192"/>
      <c r="SH9" s="192"/>
      <c r="SI9" s="192"/>
      <c r="SJ9" s="185"/>
      <c r="SK9" s="165"/>
      <c r="SL9" s="155"/>
      <c r="SM9" s="164"/>
      <c r="SN9" s="166"/>
      <c r="SO9" s="155"/>
      <c r="SP9" s="167"/>
      <c r="SQ9" s="164"/>
      <c r="SR9" s="166"/>
      <c r="SS9" s="159"/>
      <c r="ST9" s="166"/>
      <c r="SU9" s="159"/>
      <c r="SV9" s="185"/>
      <c r="SW9" s="185"/>
      <c r="SX9" s="185"/>
      <c r="SY9" s="185"/>
      <c r="SZ9" s="185"/>
      <c r="TA9" s="192"/>
      <c r="TB9" s="192"/>
      <c r="TC9" s="192"/>
      <c r="TD9" s="192"/>
      <c r="TE9" s="192"/>
      <c r="TF9" s="192"/>
      <c r="TG9" s="192"/>
      <c r="TH9" s="192"/>
      <c r="TI9" s="185"/>
      <c r="TJ9" s="166"/>
      <c r="TK9" s="151"/>
      <c r="TL9" s="146"/>
      <c r="TM9" s="152"/>
      <c r="TN9" s="149"/>
      <c r="TO9" s="153"/>
      <c r="TP9" s="154"/>
      <c r="TQ9" s="449" t="s">
        <v>366</v>
      </c>
      <c r="TR9" s="169"/>
      <c r="TS9" s="450" t="s">
        <v>367</v>
      </c>
      <c r="TT9" s="169"/>
      <c r="TU9" s="384"/>
      <c r="TV9" s="169"/>
      <c r="TW9" s="384"/>
      <c r="TX9" s="169"/>
      <c r="TY9" s="384"/>
      <c r="TZ9" s="170"/>
      <c r="UA9" s="451" t="s">
        <v>367</v>
      </c>
      <c r="UB9" s="171"/>
      <c r="UC9" s="435" t="s">
        <v>372</v>
      </c>
      <c r="UD9" s="171"/>
      <c r="UE9" s="143"/>
      <c r="UF9" s="171"/>
      <c r="UG9" s="143"/>
      <c r="UH9" s="171"/>
      <c r="UI9" s="143"/>
      <c r="UJ9" s="172"/>
      <c r="UK9" s="143"/>
      <c r="UL9" s="173"/>
      <c r="UM9" s="143"/>
      <c r="UN9" s="173"/>
      <c r="UO9" s="143"/>
      <c r="UP9" s="173"/>
      <c r="UQ9" s="143"/>
      <c r="UR9" s="173"/>
      <c r="US9" s="143"/>
      <c r="UT9" s="174"/>
      <c r="UU9" s="398"/>
      <c r="UV9" s="175"/>
      <c r="UW9" s="453" t="s">
        <v>368</v>
      </c>
      <c r="UX9" s="175"/>
      <c r="UY9" s="143"/>
      <c r="UZ9" s="175"/>
      <c r="VA9" s="143"/>
      <c r="VB9" s="175"/>
      <c r="VC9" s="143"/>
      <c r="VD9" s="176"/>
      <c r="VE9" s="102"/>
      <c r="VF9" s="100"/>
      <c r="VG9" s="103"/>
      <c r="VH9" s="98"/>
      <c r="VI9" s="104"/>
      <c r="VJ9" s="105"/>
      <c r="VK9" s="141"/>
      <c r="VL9" s="177"/>
      <c r="VM9" s="105"/>
      <c r="VN9" s="141"/>
      <c r="VO9" s="177"/>
      <c r="VP9" s="103"/>
      <c r="VQ9" s="142"/>
      <c r="VR9" s="177"/>
      <c r="VS9" s="105"/>
      <c r="VT9" s="141"/>
      <c r="VU9" s="177"/>
      <c r="VV9" s="105"/>
      <c r="VW9" s="141"/>
      <c r="VX9" s="177"/>
      <c r="VY9" s="105"/>
      <c r="VZ9" s="143"/>
      <c r="WA9" s="177"/>
      <c r="WB9" s="103"/>
      <c r="WC9" s="178">
        <f>VF9+VI9+VL9+VO9+VR9+VU9+VX9+WA9</f>
        <v>0</v>
      </c>
      <c r="WD9" s="107"/>
      <c r="WE9" s="151"/>
      <c r="WF9" s="146"/>
      <c r="WG9" s="152"/>
      <c r="WH9" s="149"/>
      <c r="WI9" s="153"/>
      <c r="WJ9" s="154"/>
      <c r="WK9" s="179">
        <f>COUNTIF(LL9:PI9,"X")-24</f>
        <v>8</v>
      </c>
      <c r="WL9" s="180"/>
      <c r="WM9" s="95"/>
      <c r="WN9" s="95"/>
      <c r="WO9" s="95"/>
      <c r="WP9" s="180"/>
      <c r="WQ9" s="115">
        <f>GE9</f>
        <v>0</v>
      </c>
      <c r="WR9" s="88"/>
      <c r="WS9" s="109"/>
    </row>
    <row r="10" spans="1:617" s="2" customFormat="1" hidden="1" x14ac:dyDescent="0.3">
      <c r="A10" s="168" t="s">
        <v>360</v>
      </c>
      <c r="B10" s="466" t="s">
        <v>342</v>
      </c>
      <c r="C10" s="194">
        <v>36536</v>
      </c>
      <c r="D10" s="196">
        <v>42559</v>
      </c>
      <c r="E10" s="195">
        <v>42784</v>
      </c>
      <c r="F10" s="195"/>
      <c r="G10" s="113">
        <v>17</v>
      </c>
      <c r="H10" s="407"/>
      <c r="I10" s="341"/>
      <c r="J10" s="341"/>
      <c r="K10" s="341"/>
      <c r="L10" s="341"/>
      <c r="M10" s="341"/>
      <c r="N10" s="341"/>
      <c r="O10" s="341"/>
      <c r="P10" s="417"/>
      <c r="Q10" s="341"/>
      <c r="R10" s="341"/>
      <c r="S10" s="341"/>
      <c r="T10" s="341"/>
      <c r="U10" s="418"/>
      <c r="V10" s="435"/>
      <c r="W10" s="435"/>
      <c r="X10" s="435"/>
      <c r="Y10" s="435"/>
      <c r="Z10" s="417"/>
      <c r="AA10" s="341"/>
      <c r="AB10" s="341"/>
      <c r="AC10" s="341"/>
      <c r="AD10" s="341"/>
      <c r="AE10" s="341"/>
      <c r="AF10" s="341"/>
      <c r="AG10" s="341"/>
      <c r="AH10" s="341"/>
      <c r="AI10" s="341" t="s">
        <v>349</v>
      </c>
      <c r="AJ10" s="341"/>
      <c r="AK10" s="341"/>
      <c r="AL10" s="341"/>
      <c r="AM10" s="341"/>
      <c r="AN10" s="341"/>
      <c r="AO10" s="341"/>
      <c r="AP10" s="341"/>
      <c r="AQ10" s="341"/>
      <c r="AR10" s="341"/>
      <c r="AS10" s="341"/>
      <c r="AT10" s="341"/>
      <c r="AU10" s="341"/>
      <c r="AV10" s="341"/>
      <c r="AW10" s="341"/>
      <c r="AX10" s="341"/>
      <c r="AY10" s="341"/>
      <c r="AZ10" s="341"/>
      <c r="BA10" s="341"/>
      <c r="BB10" s="341"/>
      <c r="BC10" s="341"/>
      <c r="BD10" s="341"/>
      <c r="BE10" s="341"/>
      <c r="BF10" s="341"/>
      <c r="BG10" s="341"/>
      <c r="BH10" s="341"/>
      <c r="BI10" s="341"/>
      <c r="BJ10" s="341"/>
      <c r="BK10" s="341"/>
      <c r="BL10" s="341"/>
      <c r="BM10" s="341"/>
      <c r="BN10" s="341"/>
      <c r="BO10" s="341"/>
      <c r="BP10" s="341"/>
      <c r="BQ10" s="341"/>
      <c r="BR10" s="341"/>
      <c r="BS10" s="341"/>
      <c r="BT10" s="341"/>
      <c r="BU10" s="341"/>
      <c r="BV10" s="341"/>
      <c r="BW10" s="341"/>
      <c r="BX10" s="341"/>
      <c r="BY10" s="341"/>
      <c r="BZ10" s="341"/>
      <c r="CA10" s="341"/>
      <c r="CB10" s="341"/>
      <c r="CC10" s="341"/>
      <c r="CD10" s="341"/>
      <c r="CE10" s="341"/>
      <c r="CF10" s="341"/>
      <c r="CG10" s="341"/>
      <c r="CH10" s="341"/>
      <c r="CI10" s="341"/>
      <c r="CJ10" s="341"/>
      <c r="CK10" s="341"/>
      <c r="CL10" s="341"/>
      <c r="CM10" s="341"/>
      <c r="CN10" s="341"/>
      <c r="CO10" s="341"/>
      <c r="CP10" s="341"/>
      <c r="CQ10" s="341"/>
      <c r="CR10" s="341"/>
      <c r="CS10" s="341"/>
      <c r="CT10" s="341"/>
      <c r="CU10" s="341"/>
      <c r="CV10" s="341"/>
      <c r="CW10" s="341"/>
      <c r="CX10" s="341"/>
      <c r="CY10" s="341"/>
      <c r="CZ10" s="343"/>
      <c r="DA10" s="346"/>
      <c r="DB10" s="168" t="s">
        <v>360</v>
      </c>
      <c r="DC10" s="427" t="s">
        <v>342</v>
      </c>
      <c r="DD10" s="194">
        <v>36536</v>
      </c>
      <c r="DE10" s="116">
        <f t="shared" si="0"/>
        <v>42559</v>
      </c>
      <c r="DF10" s="406">
        <f t="shared" si="0"/>
        <v>42784</v>
      </c>
      <c r="DG10" s="117">
        <f ca="1">(YEAR(NOW())-YEAR(DE10))*12+MONTH(NOW())-MONTH(DE10)</f>
        <v>120</v>
      </c>
      <c r="DH10" s="483"/>
      <c r="DI10" s="484"/>
      <c r="DJ10" s="418"/>
      <c r="DK10" s="418"/>
      <c r="DL10" s="418"/>
      <c r="DM10" s="418"/>
      <c r="DN10" s="428"/>
      <c r="DO10" s="418"/>
      <c r="DP10" s="418"/>
      <c r="DQ10" s="419"/>
      <c r="DR10" s="469">
        <v>42784</v>
      </c>
      <c r="DS10" s="469">
        <v>42784</v>
      </c>
      <c r="DT10" s="435"/>
      <c r="DU10" s="435"/>
      <c r="DV10" s="341"/>
      <c r="DW10" s="341"/>
      <c r="DX10" s="435"/>
      <c r="DY10" s="435"/>
      <c r="DZ10" s="435"/>
      <c r="EA10" s="435"/>
      <c r="EB10" s="435"/>
      <c r="EC10" s="435"/>
      <c r="ED10" s="435"/>
      <c r="EE10" s="341"/>
      <c r="EF10" s="341"/>
      <c r="EG10" s="435"/>
      <c r="EH10" s="435"/>
      <c r="EI10" s="341"/>
      <c r="EJ10" s="371"/>
      <c r="EK10" s="371"/>
      <c r="EL10" s="341"/>
      <c r="EM10" s="341"/>
      <c r="EN10" s="371"/>
      <c r="EO10" s="371"/>
      <c r="EP10" s="371"/>
      <c r="EQ10" s="371"/>
      <c r="ER10" s="371"/>
      <c r="ES10" s="341"/>
      <c r="ET10" s="341"/>
      <c r="EU10" s="341"/>
      <c r="EV10" s="341"/>
      <c r="EW10" s="371"/>
      <c r="EX10" s="371"/>
      <c r="EY10" s="341"/>
      <c r="EZ10" s="341"/>
      <c r="FA10" s="341"/>
      <c r="FB10" s="341"/>
      <c r="FC10" s="341"/>
      <c r="FD10" s="341"/>
      <c r="FE10" s="341"/>
      <c r="FF10" s="341"/>
      <c r="FG10" s="341"/>
      <c r="FH10" s="341"/>
      <c r="FI10" s="341"/>
      <c r="FJ10" s="341"/>
      <c r="FK10" s="341"/>
      <c r="FL10" s="341"/>
      <c r="FM10" s="341"/>
      <c r="FN10" s="341"/>
      <c r="FO10" s="341"/>
      <c r="FP10" s="341"/>
      <c r="FQ10" s="341"/>
      <c r="FR10" s="341"/>
      <c r="FS10" s="341"/>
      <c r="FT10" s="341"/>
      <c r="FU10" s="341"/>
      <c r="FV10" s="341"/>
      <c r="FW10" s="341"/>
      <c r="FX10" s="341"/>
      <c r="FY10" s="341"/>
      <c r="FZ10" s="341"/>
      <c r="GA10" s="341"/>
      <c r="GB10" s="341"/>
      <c r="GC10" s="341"/>
      <c r="GD10" s="341"/>
      <c r="GE10" s="341"/>
      <c r="GF10" s="343"/>
      <c r="GG10" s="91"/>
      <c r="GH10" s="404" t="s">
        <v>360</v>
      </c>
      <c r="GI10" s="345" t="s">
        <v>342</v>
      </c>
      <c r="GJ10" s="458"/>
      <c r="GK10" s="458"/>
      <c r="GL10" s="458"/>
      <c r="GM10" s="458"/>
      <c r="GN10" s="458"/>
      <c r="GO10" s="458"/>
      <c r="GP10" s="458"/>
      <c r="GQ10" s="458"/>
      <c r="GR10" s="458"/>
      <c r="GS10" s="469">
        <v>42784</v>
      </c>
      <c r="GT10" s="469">
        <v>42784</v>
      </c>
      <c r="GU10" s="341"/>
      <c r="GV10" s="336"/>
      <c r="GW10" s="341"/>
      <c r="GX10" s="336"/>
      <c r="GY10" s="341"/>
      <c r="GZ10" s="341"/>
      <c r="HA10" s="336"/>
      <c r="HB10" s="341"/>
      <c r="HC10" s="336"/>
      <c r="HD10" s="341"/>
      <c r="HE10" s="341"/>
      <c r="HF10" s="336"/>
      <c r="HG10" s="341"/>
      <c r="HH10" s="336"/>
      <c r="HI10" s="341"/>
      <c r="HJ10" s="341"/>
      <c r="HK10" s="341"/>
      <c r="HL10" s="336"/>
      <c r="HM10" s="341"/>
      <c r="HN10" s="341"/>
      <c r="HO10" s="341"/>
      <c r="HP10" s="341" t="s">
        <v>348</v>
      </c>
      <c r="HQ10" s="341" t="s">
        <v>348</v>
      </c>
      <c r="HR10" s="341"/>
      <c r="HS10" s="341"/>
      <c r="HT10" s="341" t="s">
        <v>348</v>
      </c>
      <c r="HU10" s="341"/>
      <c r="HV10" s="341" t="s">
        <v>348</v>
      </c>
      <c r="HW10" s="341"/>
      <c r="HX10" s="341" t="s">
        <v>348</v>
      </c>
      <c r="HY10" s="341" t="s">
        <v>348</v>
      </c>
      <c r="HZ10" s="341" t="s">
        <v>348</v>
      </c>
      <c r="IA10" s="341"/>
      <c r="IB10" s="341" t="s">
        <v>348</v>
      </c>
      <c r="IC10" s="341"/>
      <c r="ID10" s="341" t="s">
        <v>348</v>
      </c>
      <c r="IE10" s="341" t="s">
        <v>348</v>
      </c>
      <c r="IF10" s="341" t="s">
        <v>348</v>
      </c>
      <c r="IG10" s="341"/>
      <c r="IH10" s="341"/>
      <c r="II10" s="341"/>
      <c r="IJ10" s="341"/>
      <c r="IK10" s="341"/>
      <c r="IL10" s="341" t="s">
        <v>348</v>
      </c>
      <c r="IM10" s="341" t="s">
        <v>348</v>
      </c>
      <c r="IN10" s="341" t="s">
        <v>348</v>
      </c>
      <c r="IO10" s="341" t="s">
        <v>348</v>
      </c>
      <c r="IP10" s="341" t="s">
        <v>348</v>
      </c>
      <c r="IQ10" s="341" t="s">
        <v>348</v>
      </c>
      <c r="IR10" s="341" t="s">
        <v>348</v>
      </c>
      <c r="IS10" s="341"/>
      <c r="IT10" s="341"/>
      <c r="IU10" s="341" t="s">
        <v>348</v>
      </c>
      <c r="IV10" s="341"/>
      <c r="IW10" s="341"/>
      <c r="IX10" s="341" t="s">
        <v>348</v>
      </c>
      <c r="IY10" s="341" t="s">
        <v>348</v>
      </c>
      <c r="IZ10" s="341"/>
      <c r="JA10" s="341"/>
      <c r="JB10" s="341" t="s">
        <v>348</v>
      </c>
      <c r="JC10" s="341"/>
      <c r="JD10" s="341"/>
      <c r="JE10" s="341"/>
      <c r="JF10" s="341"/>
      <c r="JG10" s="341" t="s">
        <v>348</v>
      </c>
      <c r="JH10" s="341"/>
      <c r="JI10" s="341"/>
      <c r="JJ10" s="341" t="s">
        <v>348</v>
      </c>
      <c r="JK10" s="341"/>
      <c r="JL10" s="341"/>
      <c r="JM10" s="341"/>
      <c r="JN10" s="341"/>
      <c r="JO10" s="341"/>
      <c r="JP10" s="341" t="s">
        <v>348</v>
      </c>
      <c r="JQ10" s="341"/>
      <c r="JR10" s="341"/>
      <c r="JS10" s="341" t="s">
        <v>348</v>
      </c>
      <c r="JT10" s="341"/>
      <c r="JU10" s="341" t="s">
        <v>348</v>
      </c>
      <c r="JV10" s="341" t="s">
        <v>348</v>
      </c>
      <c r="JW10" s="341"/>
      <c r="JX10" s="341" t="s">
        <v>348</v>
      </c>
      <c r="JY10" s="341" t="s">
        <v>348</v>
      </c>
      <c r="JZ10" s="341" t="s">
        <v>348</v>
      </c>
      <c r="KA10" s="341"/>
      <c r="KB10" s="341" t="s">
        <v>348</v>
      </c>
      <c r="KC10" s="341"/>
      <c r="KD10" s="341"/>
      <c r="KE10" s="341" t="s">
        <v>348</v>
      </c>
      <c r="KF10" s="341"/>
      <c r="KG10" s="341"/>
      <c r="KH10" s="341"/>
      <c r="KI10" s="341"/>
      <c r="KJ10" s="341"/>
      <c r="KK10" s="341"/>
      <c r="KL10" s="341"/>
      <c r="KM10" s="341"/>
      <c r="KN10" s="341"/>
      <c r="KO10" s="341"/>
      <c r="KP10" s="341"/>
      <c r="KQ10" s="341"/>
      <c r="KR10" s="341"/>
      <c r="KS10" s="341"/>
      <c r="KT10" s="341" t="s">
        <v>348</v>
      </c>
      <c r="KU10" s="341" t="s">
        <v>348</v>
      </c>
      <c r="KV10" s="341"/>
      <c r="KW10" s="341"/>
      <c r="KX10" s="341" t="s">
        <v>348</v>
      </c>
      <c r="KY10" s="341"/>
      <c r="KZ10" s="341"/>
      <c r="LA10" s="341"/>
      <c r="LB10" s="341" t="s">
        <v>348</v>
      </c>
      <c r="LC10" s="341"/>
      <c r="LD10" s="341"/>
      <c r="LE10" s="341"/>
      <c r="LF10" s="341"/>
      <c r="LG10" s="341" t="s">
        <v>348</v>
      </c>
      <c r="LH10" s="341"/>
      <c r="LI10" s="341"/>
      <c r="LJ10" s="341"/>
      <c r="LK10" s="341"/>
      <c r="LL10" s="341"/>
      <c r="LM10" s="341"/>
      <c r="LN10" s="341"/>
      <c r="LO10" s="341"/>
      <c r="LP10" s="341"/>
      <c r="LQ10" s="341"/>
      <c r="LR10" s="341" t="s">
        <v>348</v>
      </c>
      <c r="LS10" s="341"/>
      <c r="LT10" s="341" t="s">
        <v>348</v>
      </c>
      <c r="LU10" s="341"/>
      <c r="LV10" s="341" t="s">
        <v>348</v>
      </c>
      <c r="LW10" s="341"/>
      <c r="LX10" s="341"/>
      <c r="LY10" s="341" t="s">
        <v>348</v>
      </c>
      <c r="LZ10" s="341" t="s">
        <v>348</v>
      </c>
      <c r="MA10" s="341"/>
      <c r="MB10" s="341"/>
      <c r="MC10" s="341"/>
      <c r="MD10" s="341"/>
      <c r="ME10" s="341"/>
      <c r="MF10" s="341"/>
      <c r="MG10" s="341"/>
      <c r="MH10" s="341" t="s">
        <v>348</v>
      </c>
      <c r="MI10" s="341"/>
      <c r="MJ10" s="341"/>
      <c r="MK10" s="341"/>
      <c r="ML10" s="341" t="s">
        <v>348</v>
      </c>
      <c r="MM10" s="341"/>
      <c r="MN10" s="341"/>
      <c r="MO10" s="341"/>
      <c r="MP10" s="341"/>
      <c r="MQ10" s="341"/>
      <c r="MR10" s="341"/>
      <c r="MS10" s="341"/>
      <c r="MT10" s="341"/>
      <c r="MU10" s="341"/>
      <c r="MV10" s="341"/>
      <c r="MW10" s="341"/>
      <c r="MX10" s="341"/>
      <c r="MY10" s="341"/>
      <c r="MZ10" s="341"/>
      <c r="NA10" s="341"/>
      <c r="NB10" s="341"/>
      <c r="NC10" s="341"/>
      <c r="ND10" s="341"/>
      <c r="NE10" s="341"/>
      <c r="NF10" s="341"/>
      <c r="NG10" s="341"/>
      <c r="NH10" s="341"/>
      <c r="NI10" s="341"/>
      <c r="NJ10" s="341"/>
      <c r="NK10" s="341"/>
      <c r="NL10" s="341"/>
      <c r="NM10" s="341"/>
      <c r="NN10" s="341"/>
      <c r="NO10" s="341"/>
      <c r="NP10" s="341" t="s">
        <v>348</v>
      </c>
      <c r="NQ10" s="341"/>
      <c r="NR10" s="341"/>
      <c r="NS10" s="341" t="s">
        <v>348</v>
      </c>
      <c r="NT10" s="341"/>
      <c r="NU10" s="341"/>
      <c r="NV10" s="341"/>
      <c r="NW10" s="341"/>
      <c r="NX10" s="341"/>
      <c r="NY10" s="341"/>
      <c r="NZ10" s="341"/>
      <c r="OA10" s="341" t="s">
        <v>348</v>
      </c>
      <c r="OB10" s="341"/>
      <c r="OC10" s="341"/>
      <c r="OD10" s="341"/>
      <c r="OE10" s="341" t="s">
        <v>348</v>
      </c>
      <c r="OF10" s="341"/>
      <c r="OG10" s="341"/>
      <c r="OH10" s="341"/>
      <c r="OI10" s="341"/>
      <c r="OJ10" s="341"/>
      <c r="OK10" s="341"/>
      <c r="OL10" s="341"/>
      <c r="OM10" s="341"/>
      <c r="ON10" s="341"/>
      <c r="OO10" s="341"/>
      <c r="OP10" s="341"/>
      <c r="OQ10" s="341"/>
      <c r="OR10" s="341" t="s">
        <v>348</v>
      </c>
      <c r="OS10" s="341"/>
      <c r="OT10" s="341" t="s">
        <v>348</v>
      </c>
      <c r="OU10" s="341"/>
      <c r="OV10" s="341"/>
      <c r="OW10" s="341"/>
      <c r="OX10" s="341" t="s">
        <v>348</v>
      </c>
      <c r="OY10" s="341" t="s">
        <v>348</v>
      </c>
      <c r="OZ10" s="341"/>
      <c r="PA10" s="341"/>
      <c r="PB10" s="341"/>
      <c r="PC10" s="341"/>
      <c r="PD10" s="341"/>
      <c r="PE10" s="341"/>
      <c r="PF10" s="341"/>
      <c r="PG10" s="341"/>
      <c r="PH10" s="341" t="s">
        <v>348</v>
      </c>
      <c r="PI10" s="341"/>
      <c r="PJ10" s="341"/>
      <c r="PK10" s="365"/>
      <c r="PL10" s="341"/>
      <c r="PM10" s="365"/>
      <c r="PN10" s="341"/>
      <c r="PO10" s="365"/>
      <c r="PP10" s="341"/>
      <c r="PQ10" s="366"/>
      <c r="PR10" s="341"/>
      <c r="PS10" s="366"/>
      <c r="PT10" s="341"/>
      <c r="PU10" s="366"/>
      <c r="PV10" s="341"/>
      <c r="PW10" s="370"/>
      <c r="PX10" s="341"/>
      <c r="PY10" s="368"/>
      <c r="PZ10" s="341"/>
      <c r="QA10" s="368"/>
      <c r="QB10" s="341"/>
      <c r="QC10" s="365"/>
      <c r="QD10" s="341"/>
      <c r="QE10" s="366"/>
      <c r="QF10" s="341"/>
      <c r="QG10" s="368"/>
      <c r="QH10" s="418"/>
      <c r="QI10" s="341"/>
      <c r="QJ10" s="341"/>
      <c r="QK10" s="336"/>
      <c r="QL10" s="448" t="s">
        <v>369</v>
      </c>
      <c r="QM10" s="367"/>
      <c r="QN10" s="435" t="s">
        <v>371</v>
      </c>
      <c r="QO10" s="367"/>
      <c r="QP10" s="341"/>
      <c r="QQ10" s="367"/>
      <c r="QR10" s="435"/>
      <c r="QS10" s="341"/>
      <c r="QT10" s="341"/>
      <c r="QU10" s="341"/>
      <c r="QV10" s="341"/>
      <c r="QW10" s="341"/>
      <c r="QX10" s="341"/>
      <c r="QY10" s="435"/>
      <c r="QZ10" s="341"/>
      <c r="RA10" s="371"/>
      <c r="RB10" s="341"/>
      <c r="RC10" s="371"/>
      <c r="RD10" s="341"/>
      <c r="RE10" s="371"/>
      <c r="RF10" s="341"/>
      <c r="RG10" s="341"/>
      <c r="RH10" s="341"/>
      <c r="RI10" s="341"/>
      <c r="RJ10" s="341"/>
      <c r="RK10" s="341"/>
      <c r="RL10" s="341"/>
      <c r="RM10" s="341"/>
      <c r="RN10" s="341"/>
      <c r="RO10" s="341"/>
      <c r="RP10" s="371"/>
      <c r="RQ10" s="341"/>
      <c r="RR10" s="341"/>
      <c r="RS10" s="372"/>
      <c r="RT10" s="341"/>
      <c r="RU10" s="341"/>
      <c r="RV10" s="372"/>
      <c r="RW10" s="341"/>
      <c r="RX10" s="372"/>
      <c r="RY10" s="341"/>
      <c r="RZ10" s="341"/>
      <c r="SA10" s="341"/>
      <c r="SB10" s="341"/>
      <c r="SC10" s="341"/>
      <c r="SD10" s="341"/>
      <c r="SE10" s="341"/>
      <c r="SF10" s="341"/>
      <c r="SG10" s="341"/>
      <c r="SH10" s="341"/>
      <c r="SI10" s="341"/>
      <c r="SJ10" s="341"/>
      <c r="SK10" s="372"/>
      <c r="SL10" s="341"/>
      <c r="SM10" s="341"/>
      <c r="SN10" s="373"/>
      <c r="SO10" s="341"/>
      <c r="SP10" s="341"/>
      <c r="SQ10" s="341"/>
      <c r="SR10" s="373"/>
      <c r="SS10" s="341"/>
      <c r="ST10" s="373"/>
      <c r="SU10" s="341"/>
      <c r="SV10" s="341"/>
      <c r="SW10" s="341"/>
      <c r="SX10" s="341"/>
      <c r="SY10" s="341"/>
      <c r="SZ10" s="341"/>
      <c r="TA10" s="341"/>
      <c r="TB10" s="341"/>
      <c r="TC10" s="341"/>
      <c r="TD10" s="341"/>
      <c r="TE10" s="341"/>
      <c r="TF10" s="341"/>
      <c r="TG10" s="341"/>
      <c r="TH10" s="341"/>
      <c r="TI10" s="341"/>
      <c r="TJ10" s="373"/>
      <c r="TK10" s="341"/>
      <c r="TL10" s="365"/>
      <c r="TM10" s="341"/>
      <c r="TN10" s="366"/>
      <c r="TO10" s="341"/>
      <c r="TP10" s="368"/>
      <c r="TQ10" s="449" t="s">
        <v>366</v>
      </c>
      <c r="TR10" s="374"/>
      <c r="TS10" s="450" t="s">
        <v>367</v>
      </c>
      <c r="TT10" s="374"/>
      <c r="TU10" s="341"/>
      <c r="TV10" s="374"/>
      <c r="TW10" s="341"/>
      <c r="TX10" s="374"/>
      <c r="TY10" s="341"/>
      <c r="TZ10" s="374"/>
      <c r="UA10" s="451" t="s">
        <v>367</v>
      </c>
      <c r="UB10" s="367"/>
      <c r="UC10" s="435" t="s">
        <v>372</v>
      </c>
      <c r="UD10" s="367"/>
      <c r="UE10" s="341"/>
      <c r="UF10" s="367"/>
      <c r="UG10" s="341"/>
      <c r="UH10" s="367"/>
      <c r="UI10" s="341"/>
      <c r="UJ10" s="367"/>
      <c r="UK10" s="341"/>
      <c r="UL10" s="375"/>
      <c r="UM10" s="341"/>
      <c r="UN10" s="375"/>
      <c r="UO10" s="341"/>
      <c r="UP10" s="375"/>
      <c r="UQ10" s="341"/>
      <c r="UR10" s="375"/>
      <c r="US10" s="341"/>
      <c r="UT10" s="375"/>
      <c r="UU10" s="452" t="s">
        <v>363</v>
      </c>
      <c r="UV10" s="373"/>
      <c r="UW10" s="341"/>
      <c r="UX10" s="373"/>
      <c r="UY10" s="341"/>
      <c r="UZ10" s="373"/>
      <c r="VA10" s="341"/>
      <c r="VB10" s="373"/>
      <c r="VC10" s="341"/>
      <c r="VD10" s="373"/>
      <c r="VE10" s="341"/>
      <c r="VF10" s="341"/>
      <c r="VG10" s="376"/>
      <c r="VH10" s="341"/>
      <c r="VI10" s="341"/>
      <c r="VJ10" s="376"/>
      <c r="VK10" s="341"/>
      <c r="VL10" s="341"/>
      <c r="VM10" s="376"/>
      <c r="VN10" s="341"/>
      <c r="VO10" s="341"/>
      <c r="VP10" s="376"/>
      <c r="VQ10" s="341"/>
      <c r="VR10" s="341"/>
      <c r="VS10" s="376"/>
      <c r="VT10" s="341"/>
      <c r="VU10" s="341"/>
      <c r="VV10" s="376"/>
      <c r="VW10" s="341"/>
      <c r="VX10" s="341"/>
      <c r="VY10" s="376"/>
      <c r="VZ10" s="341"/>
      <c r="WA10" s="341"/>
      <c r="WB10" s="376"/>
      <c r="WC10" s="341"/>
      <c r="WF10" s="380"/>
      <c r="WH10" s="379"/>
      <c r="WJ10" s="378"/>
      <c r="WL10" s="377"/>
      <c r="WP10" s="377"/>
      <c r="WR10" s="88"/>
      <c r="WS10" s="109"/>
    </row>
    <row r="11" spans="1:617" s="2" customFormat="1" ht="21.6" thickBot="1" x14ac:dyDescent="0.35">
      <c r="A11" s="564" t="s">
        <v>387</v>
      </c>
      <c r="B11" s="466" t="s">
        <v>376</v>
      </c>
      <c r="C11" s="194">
        <v>38965</v>
      </c>
      <c r="D11" s="110"/>
      <c r="E11" s="110">
        <v>44856</v>
      </c>
      <c r="F11" s="110">
        <v>44863</v>
      </c>
      <c r="G11" s="541"/>
      <c r="H11" s="537"/>
      <c r="I11" s="507"/>
      <c r="J11" s="507"/>
      <c r="K11" s="507"/>
      <c r="L11" s="507"/>
      <c r="M11" s="507"/>
      <c r="N11" s="507"/>
      <c r="O11" s="507"/>
      <c r="P11" s="507"/>
      <c r="Q11" s="507"/>
      <c r="R11" s="507"/>
      <c r="S11" s="507"/>
      <c r="T11" s="507"/>
      <c r="U11" s="507"/>
      <c r="V11" s="507"/>
      <c r="W11" s="507"/>
      <c r="X11" s="507"/>
      <c r="Y11" s="507"/>
      <c r="Z11" s="507"/>
      <c r="AA11" s="529"/>
      <c r="AB11" s="507"/>
      <c r="AC11" s="481"/>
      <c r="AD11" s="481"/>
      <c r="AE11" s="481"/>
      <c r="AF11" s="481"/>
      <c r="AG11" s="481"/>
      <c r="AH11" s="481"/>
      <c r="AI11" s="481"/>
      <c r="AJ11" s="481"/>
      <c r="AK11" s="481"/>
      <c r="AL11" s="481"/>
      <c r="AM11" s="481"/>
      <c r="AN11" s="481"/>
      <c r="AO11" s="481"/>
      <c r="AP11" s="481"/>
      <c r="AQ11" s="481"/>
      <c r="AR11" s="481"/>
      <c r="AS11" s="481"/>
      <c r="AT11" s="481"/>
      <c r="AU11" s="481"/>
      <c r="AV11" s="481"/>
      <c r="AW11" s="481"/>
      <c r="AX11" s="481"/>
      <c r="AY11" s="481"/>
      <c r="AZ11" s="481"/>
      <c r="BA11" s="481"/>
      <c r="BB11" s="481"/>
      <c r="BC11" s="481"/>
      <c r="BD11" s="481"/>
      <c r="BE11" s="481"/>
      <c r="BF11" s="481"/>
      <c r="BG11" s="481"/>
      <c r="BH11" s="481"/>
      <c r="BI11" s="481"/>
      <c r="BJ11" s="481"/>
      <c r="BK11" s="481"/>
      <c r="BL11" s="481"/>
      <c r="BM11" s="481"/>
      <c r="BN11" s="481"/>
      <c r="BO11" s="481"/>
      <c r="BP11" s="481"/>
      <c r="BQ11" s="481"/>
      <c r="BR11" s="481"/>
      <c r="BS11" s="481"/>
      <c r="BT11" s="481"/>
      <c r="BU11" s="481"/>
      <c r="BV11" s="507"/>
      <c r="BW11" s="507"/>
      <c r="BX11" s="507"/>
      <c r="BY11" s="507"/>
      <c r="BZ11" s="507"/>
      <c r="CA11" s="507"/>
      <c r="CB11" s="507"/>
      <c r="CC11" s="507"/>
      <c r="CD11" s="507"/>
      <c r="CE11" s="507"/>
      <c r="CF11" s="507"/>
      <c r="CG11" s="507"/>
      <c r="CH11" s="507"/>
      <c r="CI11" s="507"/>
      <c r="CJ11" s="507"/>
      <c r="CK11" s="507"/>
      <c r="CL11" s="507"/>
      <c r="CM11" s="507"/>
      <c r="CN11" s="507"/>
      <c r="CO11" s="507"/>
      <c r="CP11" s="507"/>
      <c r="CQ11" s="507"/>
      <c r="CR11" s="507"/>
      <c r="CS11" s="507"/>
      <c r="CT11" s="507"/>
      <c r="CU11" s="507"/>
      <c r="CV11" s="507"/>
      <c r="CW11" s="507"/>
      <c r="CX11" s="507"/>
      <c r="CY11" s="507"/>
      <c r="CZ11" s="343"/>
      <c r="DA11" s="346"/>
      <c r="DB11" s="424" t="str">
        <f t="shared" ref="DB11:DD16" si="1">A11</f>
        <v>Juan Luis Laya Rojas</v>
      </c>
      <c r="DC11" s="416" t="str">
        <f t="shared" si="1"/>
        <v>Tesorero</v>
      </c>
      <c r="DD11" s="116">
        <v>38965</v>
      </c>
      <c r="DE11" s="110"/>
      <c r="DF11" s="349">
        <v>44856</v>
      </c>
      <c r="DG11" s="468">
        <v>44863</v>
      </c>
      <c r="DH11" s="559" t="s">
        <v>349</v>
      </c>
      <c r="DI11" s="417" t="s">
        <v>349</v>
      </c>
      <c r="DJ11" s="417" t="s">
        <v>349</v>
      </c>
      <c r="DK11" s="417" t="s">
        <v>349</v>
      </c>
      <c r="DL11" s="417"/>
      <c r="DM11" s="417"/>
      <c r="DN11" s="417"/>
      <c r="DO11" s="417"/>
      <c r="DP11" s="417"/>
      <c r="DQ11" s="556" t="s">
        <v>349</v>
      </c>
      <c r="DR11" s="470">
        <v>44863</v>
      </c>
      <c r="DS11" s="470">
        <v>44863</v>
      </c>
      <c r="DT11" s="565" t="s">
        <v>348</v>
      </c>
      <c r="DU11" s="565" t="s">
        <v>348</v>
      </c>
      <c r="DV11" s="565" t="s">
        <v>348</v>
      </c>
      <c r="DW11" s="565" t="s">
        <v>348</v>
      </c>
      <c r="DX11" s="565" t="s">
        <v>348</v>
      </c>
      <c r="DY11" s="565" t="s">
        <v>348</v>
      </c>
      <c r="DZ11" s="565" t="s">
        <v>348</v>
      </c>
      <c r="EA11" s="565" t="s">
        <v>348</v>
      </c>
      <c r="EB11" s="565" t="s">
        <v>348</v>
      </c>
      <c r="EC11" s="565" t="s">
        <v>348</v>
      </c>
      <c r="ED11" s="565" t="s">
        <v>348</v>
      </c>
      <c r="EE11" s="565" t="s">
        <v>348</v>
      </c>
      <c r="EF11" s="565" t="s">
        <v>348</v>
      </c>
      <c r="EG11" s="565" t="s">
        <v>348</v>
      </c>
      <c r="EH11" s="565" t="s">
        <v>348</v>
      </c>
      <c r="EI11" s="548"/>
      <c r="EJ11" s="565" t="s">
        <v>348</v>
      </c>
      <c r="EK11" s="565" t="s">
        <v>348</v>
      </c>
      <c r="EL11" s="565" t="s">
        <v>348</v>
      </c>
      <c r="EM11" s="565" t="s">
        <v>348</v>
      </c>
      <c r="EN11" s="565" t="s">
        <v>348</v>
      </c>
      <c r="EO11" s="565" t="s">
        <v>348</v>
      </c>
      <c r="EP11" s="565" t="s">
        <v>348</v>
      </c>
      <c r="EQ11" s="565" t="s">
        <v>348</v>
      </c>
      <c r="ER11" s="565" t="s">
        <v>348</v>
      </c>
      <c r="ES11" s="565" t="s">
        <v>348</v>
      </c>
      <c r="ET11" s="565" t="s">
        <v>348</v>
      </c>
      <c r="EU11" s="565" t="s">
        <v>348</v>
      </c>
      <c r="EV11" s="565" t="s">
        <v>348</v>
      </c>
      <c r="EW11" s="565" t="s">
        <v>348</v>
      </c>
      <c r="EX11" s="565" t="s">
        <v>348</v>
      </c>
      <c r="EY11" s="548"/>
      <c r="EZ11" s="565" t="s">
        <v>348</v>
      </c>
      <c r="FA11" s="565" t="s">
        <v>348</v>
      </c>
      <c r="FB11" s="565" t="s">
        <v>348</v>
      </c>
      <c r="FC11" s="565" t="s">
        <v>348</v>
      </c>
      <c r="FD11" s="417"/>
      <c r="FE11" s="417"/>
      <c r="FF11" s="565" t="s">
        <v>348</v>
      </c>
      <c r="FG11" s="565" t="s">
        <v>348</v>
      </c>
      <c r="FH11" s="565" t="s">
        <v>348</v>
      </c>
      <c r="FI11" s="565" t="s">
        <v>348</v>
      </c>
      <c r="FJ11" s="417"/>
      <c r="FK11" s="417"/>
      <c r="FL11" s="417"/>
      <c r="FM11" s="565" t="s">
        <v>348</v>
      </c>
      <c r="FN11" s="417"/>
      <c r="FO11" s="417"/>
      <c r="FP11" s="548"/>
      <c r="FQ11" s="417"/>
      <c r="FR11" s="119"/>
      <c r="FS11" s="119"/>
      <c r="FT11" s="119"/>
      <c r="FU11" s="120"/>
      <c r="FV11" s="120"/>
      <c r="FW11" s="120"/>
      <c r="FX11" s="119"/>
      <c r="FY11" s="119"/>
      <c r="FZ11" s="119"/>
      <c r="GA11" s="119"/>
      <c r="GB11" s="120"/>
      <c r="GC11" s="119"/>
      <c r="GD11" s="119"/>
      <c r="GE11" s="344"/>
      <c r="GF11" s="343"/>
      <c r="GG11" s="91"/>
      <c r="GH11" s="420" t="str">
        <f t="shared" ref="GH11:GI16" si="2">A11</f>
        <v>Juan Luis Laya Rojas</v>
      </c>
      <c r="GI11" s="90" t="str">
        <f t="shared" si="2"/>
        <v>Tesorero</v>
      </c>
      <c r="GJ11" s="532" t="s">
        <v>349</v>
      </c>
      <c r="GK11" s="530" t="s">
        <v>349</v>
      </c>
      <c r="GL11" s="530" t="s">
        <v>349</v>
      </c>
      <c r="GM11" s="530" t="s">
        <v>349</v>
      </c>
      <c r="GN11" s="530" t="s">
        <v>349</v>
      </c>
      <c r="GO11" s="530"/>
      <c r="GP11" s="530"/>
      <c r="GQ11" s="530"/>
      <c r="GR11" s="530"/>
      <c r="GS11" s="190">
        <v>44863</v>
      </c>
      <c r="GT11" s="115">
        <f t="shared" ref="GT11:GT16" si="3">DS11</f>
        <v>44863</v>
      </c>
      <c r="GU11" s="352">
        <f>COUNTIF(HN11:LK11,"X")</f>
        <v>44</v>
      </c>
      <c r="GV11" s="353"/>
      <c r="GW11" s="179">
        <f>COUNTIF(LL11:PI11,"X")</f>
        <v>6</v>
      </c>
      <c r="GX11" s="353"/>
      <c r="GY11" s="115">
        <f t="shared" ref="GY11:GY16" si="4">EI11</f>
        <v>0</v>
      </c>
      <c r="GZ11" s="179">
        <f>COUNTIF(HN11:LK11,"X")-12</f>
        <v>32</v>
      </c>
      <c r="HA11" s="181"/>
      <c r="HB11" s="179">
        <f>COUNTIF(LL11:PI11,"X")-9</f>
        <v>-3</v>
      </c>
      <c r="HC11" s="181"/>
      <c r="HD11" s="354">
        <f t="shared" ref="HD11:HD16" si="5">EY11</f>
        <v>0</v>
      </c>
      <c r="HE11" s="179">
        <f>COUNTIF(HN11:LK11,"X")-21</f>
        <v>23</v>
      </c>
      <c r="HF11" s="181"/>
      <c r="HG11" s="179">
        <f>COUNTIF(LL11:PI11,"X")-15</f>
        <v>-9</v>
      </c>
      <c r="HH11" s="181"/>
      <c r="HI11" s="95"/>
      <c r="HJ11" s="95"/>
      <c r="HK11" s="95"/>
      <c r="HL11" s="182"/>
      <c r="HM11" s="115"/>
      <c r="HN11" s="355"/>
      <c r="HO11" s="339"/>
      <c r="HP11" s="355"/>
      <c r="HQ11" s="339"/>
      <c r="HR11" s="339"/>
      <c r="HT11" s="356" t="s">
        <v>348</v>
      </c>
      <c r="HU11" s="355" t="s">
        <v>348</v>
      </c>
      <c r="HV11" s="339"/>
      <c r="HW11" s="355" t="s">
        <v>348</v>
      </c>
      <c r="HX11" s="339" t="s">
        <v>348</v>
      </c>
      <c r="HY11" s="339" t="s">
        <v>348</v>
      </c>
      <c r="HZ11" s="355" t="s">
        <v>348</v>
      </c>
      <c r="IA11" s="355" t="s">
        <v>348</v>
      </c>
      <c r="IB11" s="339"/>
      <c r="IC11" s="355"/>
      <c r="ID11" s="355" t="s">
        <v>348</v>
      </c>
      <c r="IE11" s="339" t="s">
        <v>348</v>
      </c>
      <c r="IF11" s="355" t="s">
        <v>348</v>
      </c>
      <c r="IG11" s="355"/>
      <c r="IH11" s="355" t="s">
        <v>348</v>
      </c>
      <c r="II11" s="355" t="s">
        <v>348</v>
      </c>
      <c r="IJ11" s="339"/>
      <c r="IK11" s="339"/>
      <c r="IL11" s="355" t="s">
        <v>348</v>
      </c>
      <c r="IM11" s="339"/>
      <c r="IN11" s="355" t="s">
        <v>348</v>
      </c>
      <c r="IO11" s="339"/>
      <c r="IP11" s="355" t="s">
        <v>348</v>
      </c>
      <c r="IQ11" s="356" t="s">
        <v>348</v>
      </c>
      <c r="IR11" s="355" t="s">
        <v>348</v>
      </c>
      <c r="IS11" s="355" t="s">
        <v>348</v>
      </c>
      <c r="IT11" s="355"/>
      <c r="IU11" s="355" t="s">
        <v>348</v>
      </c>
      <c r="IV11" s="339" t="s">
        <v>348</v>
      </c>
      <c r="IW11" s="357"/>
      <c r="IX11" s="358" t="s">
        <v>348</v>
      </c>
      <c r="IY11" s="358" t="s">
        <v>348</v>
      </c>
      <c r="IZ11" s="358" t="s">
        <v>348</v>
      </c>
      <c r="JA11" s="339" t="s">
        <v>348</v>
      </c>
      <c r="JB11" s="339" t="s">
        <v>348</v>
      </c>
      <c r="JC11" s="358" t="s">
        <v>348</v>
      </c>
      <c r="JD11" s="358" t="s">
        <v>348</v>
      </c>
      <c r="JE11" s="339" t="s">
        <v>348</v>
      </c>
      <c r="JF11" s="358" t="s">
        <v>348</v>
      </c>
      <c r="JG11" s="339"/>
      <c r="JH11" s="358" t="s">
        <v>348</v>
      </c>
      <c r="JI11" s="357" t="s">
        <v>348</v>
      </c>
      <c r="JJ11" s="358" t="s">
        <v>348</v>
      </c>
      <c r="JK11" s="339"/>
      <c r="JL11" s="355" t="s">
        <v>348</v>
      </c>
      <c r="JM11" s="339"/>
      <c r="JN11" s="339"/>
      <c r="JO11" s="356"/>
      <c r="JP11" s="355"/>
      <c r="JQ11" s="339"/>
      <c r="JR11" s="355" t="s">
        <v>348</v>
      </c>
      <c r="JS11" s="339" t="s">
        <v>348</v>
      </c>
      <c r="JT11" s="339" t="s">
        <v>348</v>
      </c>
      <c r="JU11" s="357" t="s">
        <v>348</v>
      </c>
      <c r="JV11" s="358"/>
      <c r="JW11" s="339"/>
      <c r="JX11" s="355"/>
      <c r="JY11" s="339"/>
      <c r="JZ11" s="339" t="s">
        <v>348</v>
      </c>
      <c r="KA11" s="356"/>
      <c r="KB11" s="355" t="s">
        <v>348</v>
      </c>
      <c r="KC11" s="339"/>
      <c r="KD11" s="355"/>
      <c r="KE11" s="339"/>
      <c r="KF11" s="339"/>
      <c r="KG11" s="357"/>
      <c r="KH11" s="358"/>
      <c r="KI11" s="339"/>
      <c r="KJ11" s="355" t="s">
        <v>348</v>
      </c>
      <c r="KK11" s="339"/>
      <c r="KL11" s="339"/>
      <c r="KM11" s="356"/>
      <c r="KN11" s="355"/>
      <c r="KO11" s="339"/>
      <c r="KP11" s="355"/>
      <c r="KQ11" s="339"/>
      <c r="KR11" s="339"/>
      <c r="KS11" s="357"/>
      <c r="KT11" s="358"/>
      <c r="KU11" s="339" t="s">
        <v>348</v>
      </c>
      <c r="KV11" s="355"/>
      <c r="KW11" s="339"/>
      <c r="KX11" s="339" t="s">
        <v>348</v>
      </c>
      <c r="KY11" s="356" t="s">
        <v>348</v>
      </c>
      <c r="KZ11" s="355"/>
      <c r="LA11" s="339"/>
      <c r="LB11" s="355" t="s">
        <v>348</v>
      </c>
      <c r="LC11" s="339"/>
      <c r="LD11" s="339"/>
      <c r="LE11" s="357"/>
      <c r="LF11" s="358"/>
      <c r="LG11" s="339"/>
      <c r="LH11" s="355"/>
      <c r="LI11" s="339"/>
      <c r="LJ11" s="339"/>
      <c r="LK11" s="356"/>
      <c r="LL11" s="338"/>
      <c r="LM11" s="339"/>
      <c r="LN11" s="338"/>
      <c r="LO11" s="339"/>
      <c r="LP11" s="338"/>
      <c r="LQ11" s="356"/>
      <c r="LR11" s="338" t="s">
        <v>348</v>
      </c>
      <c r="LS11" s="339"/>
      <c r="LT11" s="338"/>
      <c r="LU11" s="339"/>
      <c r="LV11" s="338"/>
      <c r="LW11" s="356"/>
      <c r="LX11" s="338"/>
      <c r="LY11" s="339"/>
      <c r="LZ11" s="338"/>
      <c r="MA11" s="339"/>
      <c r="MB11" s="338"/>
      <c r="MC11" s="356"/>
      <c r="MD11" s="338"/>
      <c r="ME11" s="339"/>
      <c r="MF11" s="338"/>
      <c r="MG11" s="339"/>
      <c r="MH11" s="338" t="s">
        <v>348</v>
      </c>
      <c r="MI11" s="356"/>
      <c r="MJ11" s="338"/>
      <c r="MK11" s="339"/>
      <c r="ML11" s="338"/>
      <c r="MM11" s="339"/>
      <c r="MN11" s="338"/>
      <c r="MO11" s="356"/>
      <c r="MP11" s="338"/>
      <c r="MQ11" s="339"/>
      <c r="MR11" s="359"/>
      <c r="MS11" s="360"/>
      <c r="MT11" s="338"/>
      <c r="MU11" s="356"/>
      <c r="MV11" s="338"/>
      <c r="MW11" s="339"/>
      <c r="MX11" s="338"/>
      <c r="MY11" s="339" t="s">
        <v>349</v>
      </c>
      <c r="MZ11" s="338"/>
      <c r="NA11" s="356"/>
      <c r="NB11" s="338" t="s">
        <v>349</v>
      </c>
      <c r="NC11" s="339"/>
      <c r="ND11" s="338"/>
      <c r="NE11" s="339"/>
      <c r="NF11" s="338"/>
      <c r="NG11" s="356"/>
      <c r="NH11" s="338"/>
      <c r="NI11" s="339"/>
      <c r="NJ11" s="338"/>
      <c r="NK11" s="339"/>
      <c r="NL11" s="338"/>
      <c r="NM11" s="356"/>
      <c r="NN11" s="338"/>
      <c r="NO11" s="339"/>
      <c r="NP11" s="338"/>
      <c r="NQ11" s="339"/>
      <c r="NR11" s="338"/>
      <c r="NS11" s="356"/>
      <c r="NT11" s="338"/>
      <c r="NU11" s="339"/>
      <c r="NV11" s="338"/>
      <c r="NW11" s="339"/>
      <c r="NX11" s="338"/>
      <c r="NY11" s="356"/>
      <c r="NZ11" s="338"/>
      <c r="OA11" s="339"/>
      <c r="OB11" s="338"/>
      <c r="OC11" s="339"/>
      <c r="OD11" s="338"/>
      <c r="OE11" s="356"/>
      <c r="OF11" s="148"/>
      <c r="OG11" s="92"/>
      <c r="OH11" s="148"/>
      <c r="OI11" s="92"/>
      <c r="OJ11" s="148"/>
      <c r="OK11" s="348"/>
      <c r="OL11" s="148"/>
      <c r="OM11" s="92"/>
      <c r="ON11" s="148"/>
      <c r="OO11" s="92"/>
      <c r="OP11" s="148"/>
      <c r="OQ11" s="348"/>
      <c r="OR11" s="148"/>
      <c r="OS11" s="92"/>
      <c r="OT11" s="338"/>
      <c r="OU11" s="339"/>
      <c r="OV11" s="338" t="s">
        <v>348</v>
      </c>
      <c r="OW11" s="356"/>
      <c r="OX11" s="338"/>
      <c r="OY11" s="339" t="s">
        <v>348</v>
      </c>
      <c r="OZ11" s="338"/>
      <c r="PA11" s="339"/>
      <c r="PB11" s="338"/>
      <c r="PC11" s="356"/>
      <c r="PD11" s="338"/>
      <c r="PE11" s="339"/>
      <c r="PF11" s="338"/>
      <c r="PG11" s="339"/>
      <c r="PH11" s="338"/>
      <c r="PI11" s="356"/>
      <c r="PJ11" s="148"/>
      <c r="PK11" s="101"/>
      <c r="PM11" s="101"/>
      <c r="PN11" s="148"/>
      <c r="PO11" s="146"/>
      <c r="PP11" s="148" t="s">
        <v>388</v>
      </c>
      <c r="PQ11" s="147"/>
      <c r="PR11" s="148"/>
      <c r="PS11" s="147"/>
      <c r="PT11" s="148"/>
      <c r="PU11" s="149"/>
      <c r="PV11" s="148"/>
      <c r="PW11" s="150"/>
      <c r="PX11" s="148"/>
      <c r="PY11" s="369"/>
      <c r="PZ11" s="148"/>
      <c r="QA11" s="150"/>
      <c r="QB11" s="206" t="s">
        <v>386</v>
      </c>
      <c r="QC11" s="146"/>
      <c r="QD11" s="206">
        <v>45170</v>
      </c>
      <c r="QE11" s="149"/>
      <c r="QF11" s="206"/>
      <c r="QG11" s="154"/>
      <c r="QH11" s="381" t="s">
        <v>349</v>
      </c>
      <c r="QI11" s="95" t="s">
        <v>349</v>
      </c>
      <c r="QJ11" s="198"/>
      <c r="QK11" s="158"/>
      <c r="QL11" s="199"/>
      <c r="QM11" s="160"/>
      <c r="QN11" s="199"/>
      <c r="QO11" s="160"/>
      <c r="QP11" s="199"/>
      <c r="QQ11" s="160"/>
      <c r="QR11" s="199"/>
      <c r="QS11" s="198"/>
      <c r="QT11" s="198"/>
      <c r="QU11" s="95"/>
      <c r="QV11" s="95"/>
      <c r="QW11" s="95"/>
      <c r="QX11" s="198"/>
      <c r="QY11" s="160"/>
      <c r="QZ11" s="199"/>
      <c r="RA11" s="163"/>
      <c r="RB11" s="199"/>
      <c r="RC11" s="163"/>
      <c r="RD11" s="199"/>
      <c r="RE11" s="163"/>
      <c r="RF11" s="199"/>
      <c r="RG11" s="198"/>
      <c r="RH11" s="198"/>
      <c r="RI11" s="198"/>
      <c r="RJ11" s="198"/>
      <c r="RK11" s="198"/>
      <c r="RL11" s="95"/>
      <c r="RM11" s="95"/>
      <c r="RN11" s="95"/>
      <c r="RO11" s="198"/>
      <c r="RP11" s="163"/>
      <c r="RQ11" s="200" t="s">
        <v>349</v>
      </c>
      <c r="RR11" s="198" t="s">
        <v>349</v>
      </c>
      <c r="RS11" s="165"/>
      <c r="RT11" s="199" t="s">
        <v>349</v>
      </c>
      <c r="RU11" s="198" t="s">
        <v>349</v>
      </c>
      <c r="RV11" s="165"/>
      <c r="RW11" s="199"/>
      <c r="RX11" s="165"/>
      <c r="RY11" s="199" t="s">
        <v>349</v>
      </c>
      <c r="RZ11" s="198" t="s">
        <v>349</v>
      </c>
      <c r="SA11" s="198" t="s">
        <v>349</v>
      </c>
      <c r="SB11" s="198" t="s">
        <v>349</v>
      </c>
      <c r="SC11" s="198" t="s">
        <v>349</v>
      </c>
      <c r="SD11" s="198" t="s">
        <v>349</v>
      </c>
      <c r="SE11" s="95" t="s">
        <v>349</v>
      </c>
      <c r="SF11" s="95" t="s">
        <v>349</v>
      </c>
      <c r="SG11" s="95" t="s">
        <v>349</v>
      </c>
      <c r="SH11" s="95" t="s">
        <v>349</v>
      </c>
      <c r="SI11" s="95" t="s">
        <v>349</v>
      </c>
      <c r="SJ11" s="198" t="s">
        <v>349</v>
      </c>
      <c r="SK11" s="165"/>
      <c r="SL11" s="200"/>
      <c r="SM11" s="198"/>
      <c r="SN11" s="166"/>
      <c r="SO11" s="200"/>
      <c r="SP11" s="201"/>
      <c r="SQ11" s="198"/>
      <c r="SR11" s="166"/>
      <c r="SS11" s="199"/>
      <c r="ST11" s="166"/>
      <c r="SU11" s="199"/>
      <c r="SV11" s="198"/>
      <c r="SW11" s="198"/>
      <c r="SX11" s="198"/>
      <c r="SY11" s="198"/>
      <c r="SZ11" s="198"/>
      <c r="TA11" s="95"/>
      <c r="TB11" s="95"/>
      <c r="TC11" s="95"/>
      <c r="TD11" s="95"/>
      <c r="TE11" s="95"/>
      <c r="TF11" s="95"/>
      <c r="TG11" s="95"/>
      <c r="TH11" s="95"/>
      <c r="TI11" s="198"/>
      <c r="TJ11" s="166"/>
      <c r="TK11" s="206"/>
      <c r="TL11" s="146"/>
      <c r="TM11" s="206"/>
      <c r="TN11" s="149"/>
      <c r="TO11" s="206"/>
      <c r="TP11" s="154"/>
      <c r="TQ11" s="214"/>
      <c r="TR11" s="169" t="s">
        <v>349</v>
      </c>
      <c r="TS11" s="148"/>
      <c r="TT11" s="169"/>
      <c r="TU11" s="148"/>
      <c r="TV11" s="169"/>
      <c r="TW11" s="148"/>
      <c r="TX11" s="169"/>
      <c r="TY11" s="148"/>
      <c r="TZ11" s="170"/>
      <c r="UA11" s="148"/>
      <c r="UB11" s="171"/>
      <c r="UC11" s="148"/>
      <c r="UD11" s="171"/>
      <c r="UE11" s="148"/>
      <c r="UF11" s="171"/>
      <c r="UG11" s="148"/>
      <c r="UH11" s="171"/>
      <c r="UI11" s="148"/>
      <c r="UJ11" s="172"/>
      <c r="UK11" s="148"/>
      <c r="UL11" s="173"/>
      <c r="UM11" s="148"/>
      <c r="UN11" s="173"/>
      <c r="UO11" s="148"/>
      <c r="UP11" s="173"/>
      <c r="UQ11" s="148"/>
      <c r="UR11" s="173"/>
      <c r="US11" s="148"/>
      <c r="UT11" s="174"/>
      <c r="UU11" s="148"/>
      <c r="UV11" s="175"/>
      <c r="UW11" s="148"/>
      <c r="UX11" s="175"/>
      <c r="UY11" s="148"/>
      <c r="UZ11" s="175"/>
      <c r="VA11" s="148"/>
      <c r="VB11" s="175"/>
      <c r="VC11" s="148"/>
      <c r="VD11" s="176"/>
      <c r="VE11" s="351"/>
      <c r="VF11" s="148"/>
      <c r="VG11" s="105"/>
      <c r="VH11" s="92"/>
      <c r="VI11" s="213"/>
      <c r="VJ11" s="105"/>
      <c r="VK11" s="106"/>
      <c r="VL11" s="148"/>
      <c r="VM11" s="105"/>
      <c r="VN11" s="106"/>
      <c r="VO11" s="213"/>
      <c r="VP11" s="103"/>
      <c r="VQ11" s="92"/>
      <c r="VR11" s="213"/>
      <c r="VS11" s="105"/>
      <c r="VT11" s="106"/>
      <c r="VU11" s="213"/>
      <c r="VV11" s="105"/>
      <c r="VW11" s="106"/>
      <c r="VX11" s="213"/>
      <c r="VY11" s="105"/>
      <c r="VZ11" s="148"/>
      <c r="WA11" s="213"/>
      <c r="WB11" s="103"/>
      <c r="WC11" s="352">
        <f t="shared" ref="WC11:WC16" si="6">VF11+VI11+VL11+VO11+VR11+VU11+VX11+WA11</f>
        <v>0</v>
      </c>
      <c r="WD11" s="107"/>
      <c r="WE11" s="151"/>
      <c r="WF11" s="146"/>
      <c r="WG11" s="151"/>
      <c r="WH11" s="149"/>
      <c r="WI11" s="151"/>
      <c r="WJ11" s="154"/>
      <c r="WK11" s="179">
        <f>COUNTIF(LL11:PI11,"X")-24</f>
        <v>-18</v>
      </c>
      <c r="WL11" s="182"/>
      <c r="WM11" s="156"/>
      <c r="WN11" s="156"/>
      <c r="WO11" s="156"/>
      <c r="WP11" s="187"/>
      <c r="WQ11" s="115">
        <f t="shared" ref="WQ11:WQ16" si="7">GE11</f>
        <v>0</v>
      </c>
      <c r="WR11" s="88"/>
      <c r="WS11" s="109"/>
    </row>
    <row r="12" spans="1:617" s="2" customFormat="1" ht="18.600000000000001" hidden="1" thickBot="1" x14ac:dyDescent="0.4">
      <c r="A12" s="487" t="s">
        <v>373</v>
      </c>
      <c r="B12" s="466" t="s">
        <v>342</v>
      </c>
      <c r="C12" s="463"/>
      <c r="D12" s="110"/>
      <c r="E12" s="110"/>
      <c r="F12" s="110"/>
      <c r="G12" s="541"/>
      <c r="H12" s="537"/>
      <c r="I12" s="507"/>
      <c r="J12" s="507"/>
      <c r="K12" s="507"/>
      <c r="L12" s="507"/>
      <c r="M12" s="507"/>
      <c r="N12" s="507"/>
      <c r="O12" s="507"/>
      <c r="P12" s="507"/>
      <c r="Q12" s="507"/>
      <c r="R12" s="507"/>
      <c r="S12" s="507"/>
      <c r="T12" s="507"/>
      <c r="U12" s="507"/>
      <c r="V12" s="507"/>
      <c r="W12" s="507"/>
      <c r="X12" s="529"/>
      <c r="Y12" s="507"/>
      <c r="Z12" s="507"/>
      <c r="AA12" s="507"/>
      <c r="AB12" s="507"/>
      <c r="AC12" s="507"/>
      <c r="AD12" s="507"/>
      <c r="AE12" s="507"/>
      <c r="AF12" s="507"/>
      <c r="AG12" s="507"/>
      <c r="AH12" s="507"/>
      <c r="AI12" s="507"/>
      <c r="AJ12" s="507"/>
      <c r="AK12" s="507"/>
      <c r="AL12" s="507"/>
      <c r="AM12" s="507"/>
      <c r="AN12" s="507"/>
      <c r="AO12" s="507"/>
      <c r="AP12" s="507"/>
      <c r="AQ12" s="507"/>
      <c r="AR12" s="507"/>
      <c r="AS12" s="507"/>
      <c r="AT12" s="507"/>
      <c r="AU12" s="507"/>
      <c r="AV12" s="507"/>
      <c r="AW12" s="507"/>
      <c r="AX12" s="507"/>
      <c r="AY12" s="507"/>
      <c r="AZ12" s="507"/>
      <c r="BA12" s="507"/>
      <c r="BB12" s="507"/>
      <c r="BC12" s="507"/>
      <c r="BD12" s="337"/>
      <c r="BE12" s="337"/>
      <c r="BF12" s="337"/>
      <c r="BG12" s="337"/>
      <c r="BH12" s="337"/>
      <c r="BI12" s="507"/>
      <c r="BJ12" s="507"/>
      <c r="BK12" s="507"/>
      <c r="BL12" s="529"/>
      <c r="BM12" s="507"/>
      <c r="BN12" s="507"/>
      <c r="BO12" s="507"/>
      <c r="BP12" s="507"/>
      <c r="BQ12" s="507"/>
      <c r="BR12" s="507"/>
      <c r="BS12" s="507"/>
      <c r="BT12" s="507"/>
      <c r="BU12" s="507"/>
      <c r="BV12" s="507"/>
      <c r="BW12" s="507"/>
      <c r="BX12" s="529"/>
      <c r="BY12" s="507"/>
      <c r="BZ12" s="507"/>
      <c r="CA12" s="507"/>
      <c r="CB12" s="507"/>
      <c r="CC12" s="507"/>
      <c r="CD12" s="507"/>
      <c r="CE12" s="507"/>
      <c r="CF12" s="507"/>
      <c r="CG12" s="507"/>
      <c r="CH12" s="507"/>
      <c r="CI12" s="507"/>
      <c r="CJ12" s="529"/>
      <c r="CK12" s="507"/>
      <c r="CL12" s="507"/>
      <c r="CM12" s="507"/>
      <c r="CN12" s="507"/>
      <c r="CO12" s="507"/>
      <c r="CP12" s="507"/>
      <c r="CQ12" s="507"/>
      <c r="CR12" s="507"/>
      <c r="CS12" s="507"/>
      <c r="CT12" s="507"/>
      <c r="CU12" s="507"/>
      <c r="CV12" s="529"/>
      <c r="CW12" s="507"/>
      <c r="CX12" s="507"/>
      <c r="CY12" s="507"/>
      <c r="CZ12" s="343"/>
      <c r="DA12" s="89"/>
      <c r="DB12" s="421" t="str">
        <f t="shared" si="1"/>
        <v>Williams Rincones</v>
      </c>
      <c r="DC12" s="416" t="str">
        <f t="shared" si="1"/>
        <v>Rover</v>
      </c>
      <c r="DD12" s="116"/>
      <c r="DE12" s="116"/>
      <c r="DF12" s="116"/>
      <c r="DG12" s="347"/>
      <c r="DH12" s="555"/>
      <c r="DI12" s="417"/>
      <c r="DJ12" s="417"/>
      <c r="DK12" s="417"/>
      <c r="DL12" s="417"/>
      <c r="DM12" s="417"/>
      <c r="DN12" s="417"/>
      <c r="DO12" s="417"/>
      <c r="DP12" s="417"/>
      <c r="DQ12" s="556"/>
      <c r="DR12" s="116"/>
      <c r="DS12" s="123"/>
      <c r="DT12" s="124">
        <f t="shared" ref="DT12" si="8">GV12</f>
        <v>0</v>
      </c>
      <c r="DU12" s="125">
        <f t="shared" ref="DU12" si="9">GX12</f>
        <v>0</v>
      </c>
      <c r="DV12" s="126"/>
      <c r="DW12" s="125"/>
      <c r="DX12" s="126"/>
      <c r="DY12" s="127"/>
      <c r="DZ12" s="127"/>
      <c r="EA12" s="127"/>
      <c r="EB12" s="128"/>
      <c r="EC12" s="128"/>
      <c r="ED12" s="128"/>
      <c r="EE12" s="128"/>
      <c r="EF12" s="127"/>
      <c r="EG12" s="128"/>
      <c r="EH12" s="129"/>
      <c r="EI12" s="549"/>
      <c r="EJ12" s="550"/>
      <c r="EK12" s="518"/>
      <c r="EL12" s="518"/>
      <c r="EM12" s="518"/>
      <c r="EN12" s="518"/>
      <c r="EO12" s="551"/>
      <c r="EP12" s="551"/>
      <c r="EQ12" s="551"/>
      <c r="ER12" s="518"/>
      <c r="ES12" s="518"/>
      <c r="ET12" s="518"/>
      <c r="EU12" s="518"/>
      <c r="EV12" s="551"/>
      <c r="EW12" s="518"/>
      <c r="EX12" s="523"/>
      <c r="EY12" s="552"/>
      <c r="EZ12" s="553"/>
      <c r="FA12" s="518"/>
      <c r="FB12" s="519"/>
      <c r="FC12" s="519"/>
      <c r="FD12" s="520"/>
      <c r="FE12" s="518"/>
      <c r="FF12" s="521"/>
      <c r="FG12" s="521"/>
      <c r="FH12" s="521"/>
      <c r="FI12" s="519"/>
      <c r="FJ12" s="519"/>
      <c r="FK12" s="519"/>
      <c r="FL12" s="519"/>
      <c r="FM12" s="521"/>
      <c r="FN12" s="522"/>
      <c r="FO12" s="523"/>
      <c r="FP12" s="554"/>
      <c r="FQ12" s="553"/>
      <c r="FR12" s="126"/>
      <c r="FS12" s="125"/>
      <c r="FT12" s="126"/>
      <c r="FU12" s="127"/>
      <c r="FV12" s="127"/>
      <c r="FW12" s="364"/>
      <c r="FX12" s="128"/>
      <c r="FY12" s="128"/>
      <c r="FZ12" s="128"/>
      <c r="GA12" s="128"/>
      <c r="GB12" s="127"/>
      <c r="GC12" s="133"/>
      <c r="GD12" s="129"/>
      <c r="GE12" s="110"/>
      <c r="GF12" s="88"/>
      <c r="GG12" s="91"/>
      <c r="GH12" s="114" t="str">
        <f t="shared" si="2"/>
        <v>Williams Rincones</v>
      </c>
      <c r="GI12" s="90" t="str">
        <f t="shared" si="2"/>
        <v>Rover</v>
      </c>
      <c r="GJ12" s="412"/>
      <c r="GK12" s="413"/>
      <c r="GL12" s="413"/>
      <c r="GM12" s="413"/>
      <c r="GN12" s="413"/>
      <c r="GO12" s="413"/>
      <c r="GP12" s="413"/>
      <c r="GQ12" s="413"/>
      <c r="GR12" s="413"/>
      <c r="GS12" s="134"/>
      <c r="GT12" s="135">
        <f t="shared" si="3"/>
        <v>0</v>
      </c>
      <c r="GU12" s="136"/>
      <c r="GV12" s="137"/>
      <c r="GW12" s="136"/>
      <c r="GX12" s="137"/>
      <c r="GY12" s="135">
        <f t="shared" si="4"/>
        <v>0</v>
      </c>
      <c r="GZ12" s="136"/>
      <c r="HA12" s="181"/>
      <c r="HB12" s="136"/>
      <c r="HC12" s="203"/>
      <c r="HD12" s="138">
        <f t="shared" si="5"/>
        <v>0</v>
      </c>
      <c r="HE12" s="136"/>
      <c r="HF12" s="181"/>
      <c r="HG12" s="136"/>
      <c r="HH12" s="181"/>
      <c r="HI12" s="162"/>
      <c r="HJ12" s="162"/>
      <c r="HK12" s="162"/>
      <c r="HL12" s="204"/>
      <c r="HM12" s="135">
        <f t="shared" ref="HM12:HM16" si="10">FP12</f>
        <v>0</v>
      </c>
      <c r="HN12" s="340"/>
      <c r="HO12" s="337"/>
      <c r="HP12" s="340"/>
      <c r="HQ12" s="337"/>
      <c r="HR12" s="337"/>
      <c r="HS12" s="388"/>
      <c r="HT12" s="340"/>
      <c r="HU12" s="337"/>
      <c r="HV12" s="340"/>
      <c r="HW12" s="337"/>
      <c r="HX12" s="337"/>
      <c r="HY12" s="388"/>
      <c r="HZ12" s="340"/>
      <c r="IA12" s="337"/>
      <c r="IB12" s="141"/>
      <c r="IC12" s="142"/>
      <c r="ID12" s="142"/>
      <c r="IE12" s="121"/>
      <c r="IF12" s="340"/>
      <c r="IG12" s="337"/>
      <c r="IH12" s="340"/>
      <c r="II12" s="337"/>
      <c r="IJ12" s="337"/>
      <c r="IK12" s="388"/>
      <c r="IL12" s="340"/>
      <c r="IM12" s="337"/>
      <c r="IN12" s="340"/>
      <c r="IO12" s="337"/>
      <c r="IP12" s="337"/>
      <c r="IQ12" s="388"/>
      <c r="IR12" s="340"/>
      <c r="IS12" s="337"/>
      <c r="IT12" s="340"/>
      <c r="IU12" s="337"/>
      <c r="IV12" s="337"/>
      <c r="IW12" s="390"/>
      <c r="IX12" s="383"/>
      <c r="IY12" s="337"/>
      <c r="IZ12" s="340"/>
      <c r="JA12" s="337"/>
      <c r="JB12" s="337"/>
      <c r="JC12" s="388"/>
      <c r="JD12" s="340"/>
      <c r="JE12" s="142"/>
      <c r="JF12" s="141"/>
      <c r="JG12" s="142"/>
      <c r="JH12" s="142"/>
      <c r="JI12" s="390"/>
      <c r="JJ12" s="383"/>
      <c r="JK12" s="337"/>
      <c r="JL12" s="340"/>
      <c r="JM12" s="337"/>
      <c r="JN12" s="337"/>
      <c r="JO12" s="388"/>
      <c r="JP12" s="340"/>
      <c r="JQ12" s="337"/>
      <c r="JR12" s="340"/>
      <c r="JS12" s="337"/>
      <c r="JT12" s="337"/>
      <c r="JU12" s="390"/>
      <c r="JV12" s="383"/>
      <c r="JW12" s="337"/>
      <c r="JX12" s="340"/>
      <c r="JY12" s="337"/>
      <c r="JZ12" s="337"/>
      <c r="KA12" s="388"/>
      <c r="KB12" s="340"/>
      <c r="KC12" s="337"/>
      <c r="KD12" s="340"/>
      <c r="KE12" s="337"/>
      <c r="KF12" s="337"/>
      <c r="KG12" s="390"/>
      <c r="KH12" s="383"/>
      <c r="KI12" s="337"/>
      <c r="KJ12" s="340"/>
      <c r="KK12" s="337"/>
      <c r="KL12" s="337"/>
      <c r="KM12" s="121"/>
      <c r="KN12" s="141"/>
      <c r="KO12" s="142"/>
      <c r="KP12" s="141"/>
      <c r="KQ12" s="142"/>
      <c r="KR12" s="142"/>
      <c r="KS12" s="177"/>
      <c r="KT12" s="144"/>
      <c r="KU12" s="142"/>
      <c r="KV12" s="141"/>
      <c r="KW12" s="142"/>
      <c r="KX12" s="142"/>
      <c r="KY12" s="121"/>
      <c r="KZ12" s="141"/>
      <c r="LA12" s="142"/>
      <c r="LB12" s="141"/>
      <c r="LC12" s="142"/>
      <c r="LD12" s="142"/>
      <c r="LE12" s="177"/>
      <c r="LF12" s="144"/>
      <c r="LG12" s="142"/>
      <c r="LH12" s="141"/>
      <c r="LI12" s="142"/>
      <c r="LJ12" s="142"/>
      <c r="LK12" s="121"/>
      <c r="LL12" s="143"/>
      <c r="LM12" s="142"/>
      <c r="LN12" s="143"/>
      <c r="LO12" s="142"/>
      <c r="LP12" s="143"/>
      <c r="LQ12" s="121"/>
      <c r="LR12" s="143"/>
      <c r="LS12" s="142"/>
      <c r="LT12" s="143"/>
      <c r="LU12" s="142"/>
      <c r="LV12" s="143"/>
      <c r="LW12" s="121"/>
      <c r="LX12" s="143"/>
      <c r="LY12" s="142"/>
      <c r="LZ12" s="143"/>
      <c r="MA12" s="142"/>
      <c r="MB12" s="143"/>
      <c r="MC12" s="121"/>
      <c r="MD12" s="143"/>
      <c r="ME12" s="337"/>
      <c r="MF12" s="384"/>
      <c r="MG12" s="337"/>
      <c r="MH12" s="384"/>
      <c r="MI12" s="388"/>
      <c r="MJ12" s="384"/>
      <c r="MK12" s="337"/>
      <c r="ML12" s="384"/>
      <c r="MM12" s="337"/>
      <c r="MN12" s="384"/>
      <c r="MO12" s="388"/>
      <c r="MP12" s="384"/>
      <c r="MQ12" s="337"/>
      <c r="MR12" s="384"/>
      <c r="MS12" s="337"/>
      <c r="MT12" s="384"/>
      <c r="MU12" s="388"/>
      <c r="MV12" s="384"/>
      <c r="MW12" s="337"/>
      <c r="MX12" s="384"/>
      <c r="MY12" s="337"/>
      <c r="MZ12" s="384"/>
      <c r="NA12" s="388"/>
      <c r="NB12" s="384"/>
      <c r="NC12" s="337"/>
      <c r="ND12" s="384"/>
      <c r="NE12" s="337"/>
      <c r="NF12" s="384"/>
      <c r="NG12" s="388"/>
      <c r="NH12" s="384"/>
      <c r="NI12" s="337"/>
      <c r="NJ12" s="384"/>
      <c r="NK12" s="337"/>
      <c r="NL12" s="384"/>
      <c r="NM12" s="388"/>
      <c r="NN12" s="384"/>
      <c r="NO12" s="337"/>
      <c r="NP12" s="384"/>
      <c r="NQ12" s="337"/>
      <c r="NR12" s="384"/>
      <c r="NS12" s="388"/>
      <c r="NT12" s="384"/>
      <c r="NU12" s="337"/>
      <c r="NV12" s="384"/>
      <c r="NW12" s="337"/>
      <c r="NX12" s="384"/>
      <c r="NY12" s="388"/>
      <c r="NZ12" s="384"/>
      <c r="OA12" s="337"/>
      <c r="OB12" s="384"/>
      <c r="OC12" s="337"/>
      <c r="OD12" s="384"/>
      <c r="OE12" s="388"/>
      <c r="OF12" s="143"/>
      <c r="OG12" s="142"/>
      <c r="OH12" s="143"/>
      <c r="OI12" s="142"/>
      <c r="OJ12" s="143"/>
      <c r="OK12" s="121"/>
      <c r="OL12" s="143"/>
      <c r="OM12" s="142"/>
      <c r="ON12" s="143"/>
      <c r="OO12" s="142"/>
      <c r="OP12" s="143"/>
      <c r="OQ12" s="121"/>
      <c r="OR12" s="143"/>
      <c r="OS12" s="142"/>
      <c r="OT12" s="384" t="s">
        <v>348</v>
      </c>
      <c r="OU12" s="337"/>
      <c r="OV12" s="384"/>
      <c r="OW12" s="388"/>
      <c r="OX12" s="384" t="s">
        <v>348</v>
      </c>
      <c r="OY12" s="337"/>
      <c r="OZ12" s="384"/>
      <c r="PA12" s="337"/>
      <c r="PB12" s="384"/>
      <c r="PC12" s="388"/>
      <c r="PD12" s="384"/>
      <c r="PE12" s="337"/>
      <c r="PF12" s="384"/>
      <c r="PG12" s="337"/>
      <c r="PH12" s="384"/>
      <c r="PI12" s="388" t="s">
        <v>348</v>
      </c>
      <c r="PJ12" s="191"/>
      <c r="PK12" s="101"/>
      <c r="PL12" s="205"/>
      <c r="PM12" s="101"/>
      <c r="PN12" s="100"/>
      <c r="PO12" s="146"/>
      <c r="PP12" s="100"/>
      <c r="PQ12" s="147"/>
      <c r="PR12" s="143"/>
      <c r="PS12" s="147"/>
      <c r="PT12" s="143"/>
      <c r="PU12" s="149"/>
      <c r="PV12" s="168"/>
      <c r="PW12" s="150"/>
      <c r="PX12" s="143"/>
      <c r="PY12" s="150"/>
      <c r="PZ12" s="143"/>
      <c r="QA12" s="150"/>
      <c r="QB12" s="206"/>
      <c r="QC12" s="146"/>
      <c r="QD12" s="151"/>
      <c r="QE12" s="149"/>
      <c r="QF12" s="151"/>
      <c r="QG12" s="154"/>
      <c r="QH12" s="156"/>
      <c r="QI12" s="192"/>
      <c r="QJ12" s="185"/>
      <c r="QK12" s="158"/>
      <c r="QL12" s="207"/>
      <c r="QM12" s="160"/>
      <c r="QN12" s="207"/>
      <c r="QO12" s="160"/>
      <c r="QP12" s="207"/>
      <c r="QQ12" s="160"/>
      <c r="QR12" s="207"/>
      <c r="QS12" s="157"/>
      <c r="QT12" s="156"/>
      <c r="QU12" s="161"/>
      <c r="QV12" s="162"/>
      <c r="QW12" s="162"/>
      <c r="QX12" s="164"/>
      <c r="QY12" s="160"/>
      <c r="QZ12" s="207"/>
      <c r="RA12" s="163"/>
      <c r="RB12" s="207"/>
      <c r="RC12" s="163"/>
      <c r="RD12" s="207"/>
      <c r="RE12" s="163"/>
      <c r="RF12" s="207"/>
      <c r="RG12" s="157"/>
      <c r="RH12" s="156"/>
      <c r="RI12" s="161"/>
      <c r="RJ12" s="161"/>
      <c r="RK12" s="161"/>
      <c r="RL12" s="161"/>
      <c r="RM12" s="162"/>
      <c r="RN12" s="162"/>
      <c r="RO12" s="164"/>
      <c r="RP12" s="163"/>
      <c r="RQ12" s="208"/>
      <c r="RR12" s="198"/>
      <c r="RS12" s="165"/>
      <c r="RT12" s="207"/>
      <c r="RU12" s="198"/>
      <c r="RV12" s="165"/>
      <c r="RW12" s="207"/>
      <c r="RX12" s="165"/>
      <c r="RY12" s="207"/>
      <c r="RZ12" s="157"/>
      <c r="SA12" s="156"/>
      <c r="SB12" s="161"/>
      <c r="SC12" s="161"/>
      <c r="SD12" s="161"/>
      <c r="SE12" s="161"/>
      <c r="SF12" s="161"/>
      <c r="SG12" s="161"/>
      <c r="SH12" s="162"/>
      <c r="SI12" s="162"/>
      <c r="SJ12" s="164"/>
      <c r="SK12" s="165"/>
      <c r="SL12" s="208"/>
      <c r="SM12" s="198"/>
      <c r="SN12" s="166"/>
      <c r="SO12" s="208"/>
      <c r="SP12" s="156"/>
      <c r="SQ12" s="198"/>
      <c r="SR12" s="166"/>
      <c r="SS12" s="207"/>
      <c r="ST12" s="166"/>
      <c r="SU12" s="207"/>
      <c r="SV12" s="157"/>
      <c r="SW12" s="156"/>
      <c r="SX12" s="161"/>
      <c r="SY12" s="161"/>
      <c r="SZ12" s="161"/>
      <c r="TA12" s="161"/>
      <c r="TB12" s="161"/>
      <c r="TC12" s="161"/>
      <c r="TD12" s="161"/>
      <c r="TE12" s="161"/>
      <c r="TF12" s="161"/>
      <c r="TG12" s="162"/>
      <c r="TH12" s="162"/>
      <c r="TI12" s="164"/>
      <c r="TJ12" s="166"/>
      <c r="TK12" s="206"/>
      <c r="TL12" s="146"/>
      <c r="TM12" s="151"/>
      <c r="TN12" s="149"/>
      <c r="TO12" s="151"/>
      <c r="TP12" s="154"/>
      <c r="TQ12" s="191"/>
      <c r="TR12" s="169"/>
      <c r="TS12" s="143"/>
      <c r="TT12" s="169"/>
      <c r="TU12" s="143"/>
      <c r="TV12" s="169"/>
      <c r="TW12" s="143"/>
      <c r="TX12" s="169"/>
      <c r="TY12" s="143"/>
      <c r="TZ12" s="170"/>
      <c r="UA12" s="143"/>
      <c r="UB12" s="171"/>
      <c r="UC12" s="143"/>
      <c r="UD12" s="171"/>
      <c r="UE12" s="143"/>
      <c r="UF12" s="171"/>
      <c r="UG12" s="143"/>
      <c r="UH12" s="171"/>
      <c r="UI12" s="143"/>
      <c r="UJ12" s="172"/>
      <c r="UK12" s="143"/>
      <c r="UL12" s="173"/>
      <c r="UM12" s="143"/>
      <c r="UN12" s="173"/>
      <c r="UO12" s="143"/>
      <c r="UP12" s="173"/>
      <c r="UQ12" s="143"/>
      <c r="UR12" s="173"/>
      <c r="US12" s="143"/>
      <c r="UT12" s="174"/>
      <c r="UU12" s="143"/>
      <c r="UV12" s="175"/>
      <c r="UW12" s="143"/>
      <c r="UX12" s="175"/>
      <c r="UY12" s="143"/>
      <c r="UZ12" s="175"/>
      <c r="VA12" s="143"/>
      <c r="VB12" s="175"/>
      <c r="VC12" s="143"/>
      <c r="VD12" s="176"/>
      <c r="VE12" s="193"/>
      <c r="VF12" s="205"/>
      <c r="VG12" s="105"/>
      <c r="VH12" s="202"/>
      <c r="VI12" s="186"/>
      <c r="VJ12" s="105"/>
      <c r="VK12" s="202"/>
      <c r="VL12" s="205"/>
      <c r="VM12" s="105"/>
      <c r="VN12" s="209"/>
      <c r="VO12" s="186"/>
      <c r="VP12" s="105"/>
      <c r="VQ12" s="202"/>
      <c r="VR12" s="186"/>
      <c r="VS12" s="105"/>
      <c r="VT12" s="209"/>
      <c r="VU12" s="186"/>
      <c r="VV12" s="105"/>
      <c r="VW12" s="141"/>
      <c r="VX12" s="177"/>
      <c r="VY12" s="105"/>
      <c r="VZ12" s="143"/>
      <c r="WA12" s="177"/>
      <c r="WB12" s="103"/>
      <c r="WC12" s="178">
        <f t="shared" si="6"/>
        <v>0</v>
      </c>
      <c r="WD12" s="107"/>
      <c r="WE12" s="206"/>
      <c r="WF12" s="146"/>
      <c r="WG12" s="151"/>
      <c r="WH12" s="149"/>
      <c r="WI12" s="151"/>
      <c r="WJ12" s="154"/>
      <c r="WK12" s="352" t="s">
        <v>349</v>
      </c>
      <c r="WL12" s="182"/>
      <c r="WM12" s="162"/>
      <c r="WN12" s="162"/>
      <c r="WO12" s="162"/>
      <c r="WP12" s="210"/>
      <c r="WQ12" s="115">
        <f t="shared" si="7"/>
        <v>0</v>
      </c>
      <c r="WR12" s="88"/>
      <c r="WS12" s="109"/>
    </row>
    <row r="13" spans="1:617" s="2" customFormat="1" x14ac:dyDescent="0.3">
      <c r="A13" s="112"/>
      <c r="B13" s="466" t="s">
        <v>377</v>
      </c>
      <c r="C13" s="194"/>
      <c r="D13" s="196"/>
      <c r="E13" s="195"/>
      <c r="F13" s="558"/>
      <c r="G13" s="541"/>
      <c r="H13" s="533"/>
      <c r="I13" s="530"/>
      <c r="J13" s="530"/>
      <c r="K13" s="530"/>
      <c r="L13" s="530"/>
      <c r="M13" s="530"/>
      <c r="N13" s="530"/>
      <c r="O13" s="534"/>
      <c r="P13" s="530"/>
      <c r="Q13" s="534"/>
      <c r="R13" s="530"/>
      <c r="S13" s="531"/>
      <c r="T13" s="533"/>
      <c r="U13" s="530"/>
      <c r="V13" s="534"/>
      <c r="W13" s="530"/>
      <c r="X13" s="533"/>
      <c r="Y13" s="530"/>
      <c r="Z13" s="530"/>
      <c r="AA13" s="530"/>
      <c r="AB13" s="533"/>
      <c r="AC13" s="534"/>
      <c r="AD13" s="530"/>
      <c r="AE13" s="531"/>
      <c r="AF13" s="532"/>
      <c r="AG13" s="530"/>
      <c r="AH13" s="534"/>
      <c r="AI13" s="530"/>
      <c r="AJ13" s="530"/>
      <c r="AK13" s="530"/>
      <c r="AL13" s="530"/>
      <c r="AM13" s="560"/>
      <c r="AN13" s="560"/>
      <c r="AO13" s="560"/>
      <c r="AP13" s="560"/>
      <c r="AQ13" s="561"/>
      <c r="AR13" s="562"/>
      <c r="AS13" s="560"/>
      <c r="AT13" s="530"/>
      <c r="AU13" s="530"/>
      <c r="AV13" s="530"/>
      <c r="AW13" s="530"/>
      <c r="AX13" s="530"/>
      <c r="AY13" s="530"/>
      <c r="AZ13" s="533"/>
      <c r="BA13" s="542"/>
      <c r="BB13" s="530"/>
      <c r="BC13" s="531"/>
      <c r="BD13" s="358"/>
      <c r="BE13" s="355"/>
      <c r="BF13" s="338"/>
      <c r="BG13" s="339"/>
      <c r="BH13" s="355"/>
      <c r="BI13" s="530"/>
      <c r="BJ13" s="530"/>
      <c r="BK13" s="530"/>
      <c r="BL13" s="530"/>
      <c r="BM13" s="530"/>
      <c r="BN13" s="530"/>
      <c r="BO13" s="531"/>
      <c r="BP13" s="532"/>
      <c r="BQ13" s="533"/>
      <c r="BR13" s="534"/>
      <c r="BS13" s="530"/>
      <c r="BT13" s="533"/>
      <c r="BU13" s="530"/>
      <c r="BV13" s="530"/>
      <c r="BW13" s="530"/>
      <c r="BX13" s="530"/>
      <c r="BY13" s="530"/>
      <c r="BZ13" s="530"/>
      <c r="CA13" s="531"/>
      <c r="CB13" s="532"/>
      <c r="CC13" s="533"/>
      <c r="CD13" s="534"/>
      <c r="CE13" s="530"/>
      <c r="CF13" s="533"/>
      <c r="CG13" s="530"/>
      <c r="CH13" s="530"/>
      <c r="CI13" s="530"/>
      <c r="CJ13" s="530"/>
      <c r="CK13" s="530"/>
      <c r="CL13" s="530"/>
      <c r="CM13" s="531"/>
      <c r="CN13" s="532"/>
      <c r="CO13" s="533"/>
      <c r="CP13" s="534"/>
      <c r="CQ13" s="530"/>
      <c r="CR13" s="533"/>
      <c r="CS13" s="530"/>
      <c r="CT13" s="530"/>
      <c r="CU13" s="530"/>
      <c r="CV13" s="530"/>
      <c r="CW13" s="530"/>
      <c r="CX13" s="530"/>
      <c r="CY13" s="531"/>
      <c r="CZ13" s="88"/>
      <c r="DA13" s="89"/>
      <c r="DB13" s="421">
        <f t="shared" si="1"/>
        <v>0</v>
      </c>
      <c r="DC13" s="416" t="str">
        <f t="shared" si="1"/>
        <v>Comunicaciones</v>
      </c>
      <c r="DD13" s="116"/>
      <c r="DE13" s="116"/>
      <c r="DF13" s="116"/>
      <c r="DG13" s="117"/>
      <c r="DH13" s="555"/>
      <c r="DI13" s="555"/>
      <c r="DJ13" s="417"/>
      <c r="DK13" s="417"/>
      <c r="DL13" s="417"/>
      <c r="DM13" s="417"/>
      <c r="DN13" s="417"/>
      <c r="DO13" s="417"/>
      <c r="DP13" s="517"/>
      <c r="DQ13" s="557"/>
      <c r="DR13" s="122"/>
      <c r="DS13" s="123"/>
      <c r="DT13" s="124"/>
      <c r="DU13" s="125"/>
      <c r="DV13" s="126"/>
      <c r="DW13" s="125"/>
      <c r="DX13" s="126"/>
      <c r="DY13" s="127"/>
      <c r="DZ13" s="127"/>
      <c r="EA13" s="127"/>
      <c r="EB13" s="128"/>
      <c r="EC13" s="128"/>
      <c r="ED13" s="128"/>
      <c r="EE13" s="128"/>
      <c r="EF13" s="127"/>
      <c r="EG13" s="128"/>
      <c r="EH13" s="129"/>
      <c r="EI13" s="549"/>
      <c r="EJ13" s="565"/>
      <c r="EK13" s="417"/>
      <c r="EL13" s="417"/>
      <c r="EM13" s="417"/>
      <c r="EN13" s="417"/>
      <c r="EO13" s="517"/>
      <c r="EP13" s="517"/>
      <c r="EQ13" s="517"/>
      <c r="ER13" s="417"/>
      <c r="ES13" s="417"/>
      <c r="ET13" s="417"/>
      <c r="EU13" s="417"/>
      <c r="EV13" s="517"/>
      <c r="EW13" s="417"/>
      <c r="EX13" s="556"/>
      <c r="EY13" s="552"/>
      <c r="EZ13" s="553"/>
      <c r="FA13" s="518"/>
      <c r="FB13" s="519"/>
      <c r="FC13" s="519"/>
      <c r="FD13" s="520"/>
      <c r="FE13" s="518"/>
      <c r="FF13" s="521"/>
      <c r="FG13" s="521"/>
      <c r="FH13" s="521"/>
      <c r="FI13" s="519"/>
      <c r="FJ13" s="519"/>
      <c r="FK13" s="519"/>
      <c r="FL13" s="519"/>
      <c r="FM13" s="521"/>
      <c r="FN13" s="522"/>
      <c r="FO13" s="523"/>
      <c r="FP13" s="554"/>
      <c r="FQ13" s="553"/>
      <c r="FR13" s="126"/>
      <c r="FS13" s="125"/>
      <c r="FT13" s="126"/>
      <c r="FU13" s="127"/>
      <c r="FV13" s="127"/>
      <c r="FW13" s="127"/>
      <c r="FX13" s="128"/>
      <c r="FY13" s="128"/>
      <c r="FZ13" s="128"/>
      <c r="GA13" s="128"/>
      <c r="GB13" s="127"/>
      <c r="GC13" s="133"/>
      <c r="GD13" s="129"/>
      <c r="GE13" s="110"/>
      <c r="GF13" s="88"/>
      <c r="GG13" s="211"/>
      <c r="GH13" s="114">
        <f t="shared" si="2"/>
        <v>0</v>
      </c>
      <c r="GI13" s="114" t="str">
        <f t="shared" si="2"/>
        <v>Comunicaciones</v>
      </c>
      <c r="GJ13" s="414"/>
      <c r="GK13" s="415"/>
      <c r="GL13" s="415"/>
      <c r="GM13" s="415"/>
      <c r="GN13" s="415"/>
      <c r="GO13" s="415"/>
      <c r="GP13" s="415"/>
      <c r="GQ13" s="415"/>
      <c r="GR13" s="415"/>
      <c r="GS13" s="134"/>
      <c r="GT13" s="135"/>
      <c r="GU13" s="136"/>
      <c r="GV13" s="137"/>
      <c r="GW13" s="136"/>
      <c r="GX13" s="137"/>
      <c r="GY13" s="135">
        <f t="shared" si="4"/>
        <v>0</v>
      </c>
      <c r="GZ13" s="136"/>
      <c r="HA13" s="93"/>
      <c r="HB13" s="136"/>
      <c r="HC13" s="93"/>
      <c r="HD13" s="138">
        <f t="shared" si="5"/>
        <v>0</v>
      </c>
      <c r="HE13" s="136"/>
      <c r="HF13" s="93"/>
      <c r="HG13" s="136"/>
      <c r="HH13" s="94"/>
      <c r="HI13" s="162"/>
      <c r="HJ13" s="162"/>
      <c r="HK13" s="162"/>
      <c r="HL13" s="96"/>
      <c r="HM13" s="135">
        <f t="shared" si="10"/>
        <v>0</v>
      </c>
      <c r="HN13" s="141"/>
      <c r="HO13" s="142"/>
      <c r="HP13" s="141"/>
      <c r="HQ13" s="142"/>
      <c r="HR13" s="142"/>
      <c r="HS13" s="121"/>
      <c r="HT13" s="144" t="s">
        <v>348</v>
      </c>
      <c r="HU13" s="142"/>
      <c r="HV13" s="141"/>
      <c r="HW13" s="142" t="s">
        <v>348</v>
      </c>
      <c r="HX13" s="142" t="s">
        <v>348</v>
      </c>
      <c r="HY13" s="121"/>
      <c r="HZ13" s="141"/>
      <c r="IA13" s="142"/>
      <c r="IB13" s="141"/>
      <c r="IC13" s="142"/>
      <c r="ID13" s="142"/>
      <c r="IE13" s="121"/>
      <c r="IF13" s="141"/>
      <c r="IG13" s="142"/>
      <c r="IH13" s="141"/>
      <c r="II13" s="142"/>
      <c r="IJ13" s="142"/>
      <c r="IK13" s="121"/>
      <c r="IL13" s="141"/>
      <c r="IM13" s="142"/>
      <c r="IN13" s="141"/>
      <c r="IO13" s="142"/>
      <c r="IP13" s="142"/>
      <c r="IQ13" s="121"/>
      <c r="IR13" s="144"/>
      <c r="IS13" s="142"/>
      <c r="IT13" s="141"/>
      <c r="IU13" s="142"/>
      <c r="IV13" s="142"/>
      <c r="IW13" s="177"/>
      <c r="IX13" s="144"/>
      <c r="IY13" s="142"/>
      <c r="IZ13" s="141"/>
      <c r="JA13" s="142"/>
      <c r="JB13" s="142"/>
      <c r="JC13" s="121"/>
      <c r="JD13" s="141"/>
      <c r="JE13" s="142"/>
      <c r="JF13" s="141"/>
      <c r="JG13" s="142"/>
      <c r="JH13" s="142"/>
      <c r="JI13" s="177"/>
      <c r="JJ13" s="144"/>
      <c r="JK13" s="142"/>
      <c r="JL13" s="141"/>
      <c r="JM13" s="142"/>
      <c r="JN13" s="142"/>
      <c r="JO13" s="121"/>
      <c r="JP13" s="141"/>
      <c r="JQ13" s="142"/>
      <c r="JR13" s="141"/>
      <c r="JS13" s="142"/>
      <c r="JT13" s="142"/>
      <c r="JU13" s="177" t="s">
        <v>348</v>
      </c>
      <c r="JV13" s="144"/>
      <c r="JW13" s="142"/>
      <c r="JX13" s="141"/>
      <c r="JY13" s="142"/>
      <c r="JZ13" s="142"/>
      <c r="KA13" s="121"/>
      <c r="KB13" s="144" t="s">
        <v>348</v>
      </c>
      <c r="KC13" s="142"/>
      <c r="KD13" s="141"/>
      <c r="KE13" s="142"/>
      <c r="KF13" s="142"/>
      <c r="KG13" s="177"/>
      <c r="KH13" s="144"/>
      <c r="KI13" s="142"/>
      <c r="KJ13" s="141"/>
      <c r="KK13" s="142"/>
      <c r="KL13" s="142"/>
      <c r="KM13" s="121"/>
      <c r="KN13" s="141"/>
      <c r="KO13" s="142"/>
      <c r="KP13" s="141"/>
      <c r="KQ13" s="142"/>
      <c r="KR13" s="142"/>
      <c r="KS13" s="177"/>
      <c r="KT13" s="144"/>
      <c r="KU13" s="142"/>
      <c r="KV13" s="141"/>
      <c r="KW13" s="142"/>
      <c r="KX13" s="142"/>
      <c r="KY13" s="121"/>
      <c r="KZ13" s="141"/>
      <c r="LA13" s="142"/>
      <c r="LB13" s="141"/>
      <c r="LC13" s="142"/>
      <c r="LD13" s="142"/>
      <c r="LE13" s="177"/>
      <c r="LF13" s="144"/>
      <c r="LG13" s="142"/>
      <c r="LH13" s="141"/>
      <c r="LI13" s="142"/>
      <c r="LJ13" s="142"/>
      <c r="LK13" s="121"/>
      <c r="LL13" s="143"/>
      <c r="LM13" s="142"/>
      <c r="LN13" s="143"/>
      <c r="LO13" s="142"/>
      <c r="LP13" s="143"/>
      <c r="LQ13" s="121"/>
      <c r="LR13" s="143"/>
      <c r="LS13" s="142"/>
      <c r="LT13" s="143"/>
      <c r="LU13" s="142"/>
      <c r="LV13" s="143"/>
      <c r="LW13" s="121"/>
      <c r="LX13" s="143"/>
      <c r="LY13" s="142"/>
      <c r="LZ13" s="143"/>
      <c r="MA13" s="142"/>
      <c r="MB13" s="143"/>
      <c r="MC13" s="121"/>
      <c r="MD13" s="143"/>
      <c r="ME13" s="142"/>
      <c r="MF13" s="143"/>
      <c r="MG13" s="142"/>
      <c r="MH13" s="143"/>
      <c r="MI13" s="121"/>
      <c r="MJ13" s="143"/>
      <c r="MK13" s="142"/>
      <c r="ML13" s="143"/>
      <c r="MM13" s="142"/>
      <c r="MN13" s="143"/>
      <c r="MO13" s="121"/>
      <c r="MP13" s="143"/>
      <c r="MQ13" s="142"/>
      <c r="MR13" s="143"/>
      <c r="MS13" s="142"/>
      <c r="MT13" s="143"/>
      <c r="MU13" s="121"/>
      <c r="MV13" s="143"/>
      <c r="MW13" s="142"/>
      <c r="MX13" s="143"/>
      <c r="MY13" s="142"/>
      <c r="MZ13" s="143"/>
      <c r="NA13" s="121"/>
      <c r="NB13" s="143"/>
      <c r="NC13" s="142"/>
      <c r="ND13" s="143"/>
      <c r="NE13" s="142"/>
      <c r="NF13" s="143"/>
      <c r="NG13" s="121"/>
      <c r="NH13" s="143"/>
      <c r="NI13" s="142"/>
      <c r="NJ13" s="143"/>
      <c r="NK13" s="142"/>
      <c r="NL13" s="143"/>
      <c r="NM13" s="121"/>
      <c r="NN13" s="143"/>
      <c r="NO13" s="142"/>
      <c r="NP13" s="143"/>
      <c r="NQ13" s="142"/>
      <c r="NR13" s="143"/>
      <c r="NS13" s="121"/>
      <c r="NT13" s="143"/>
      <c r="NU13" s="142"/>
      <c r="NV13" s="143"/>
      <c r="NW13" s="142"/>
      <c r="NX13" s="143"/>
      <c r="NY13" s="121"/>
      <c r="NZ13" s="143"/>
      <c r="OA13" s="142"/>
      <c r="OB13" s="143"/>
      <c r="OC13" s="142"/>
      <c r="OD13" s="143"/>
      <c r="OE13" s="121"/>
      <c r="OF13" s="143"/>
      <c r="OG13" s="142"/>
      <c r="OH13" s="143"/>
      <c r="OI13" s="142"/>
      <c r="OJ13" s="143"/>
      <c r="OK13" s="121"/>
      <c r="OL13" s="143"/>
      <c r="OM13" s="142"/>
      <c r="ON13" s="143"/>
      <c r="OO13" s="142"/>
      <c r="OP13" s="143"/>
      <c r="OQ13" s="121"/>
      <c r="OR13" s="143"/>
      <c r="OS13" s="142"/>
      <c r="OT13" s="384"/>
      <c r="OU13" s="337"/>
      <c r="OV13" s="384"/>
      <c r="OW13" s="388"/>
      <c r="OX13" s="384"/>
      <c r="OY13" s="337"/>
      <c r="OZ13" s="384"/>
      <c r="PA13" s="337"/>
      <c r="PB13" s="384"/>
      <c r="PC13" s="388"/>
      <c r="PD13" s="384"/>
      <c r="PE13" s="337"/>
      <c r="PF13" s="384"/>
      <c r="PG13" s="337"/>
      <c r="PH13" s="384"/>
      <c r="PI13" s="388"/>
      <c r="PJ13" s="168"/>
      <c r="PK13" s="101"/>
      <c r="PL13" s="143"/>
      <c r="PM13" s="101"/>
      <c r="PN13" s="205"/>
      <c r="PO13" s="146"/>
      <c r="PP13" s="145"/>
      <c r="PQ13" s="147"/>
      <c r="PR13" s="100"/>
      <c r="PS13" s="147"/>
      <c r="PT13" s="205"/>
      <c r="PU13" s="149"/>
      <c r="PV13" s="100"/>
      <c r="PW13" s="150"/>
      <c r="PX13" s="100"/>
      <c r="PY13" s="150"/>
      <c r="PZ13" s="205"/>
      <c r="QA13" s="154"/>
      <c r="QB13" s="151"/>
      <c r="QC13" s="146"/>
      <c r="QD13" s="212"/>
      <c r="QE13" s="149"/>
      <c r="QF13" s="212"/>
      <c r="QG13" s="154"/>
      <c r="QH13" s="208"/>
      <c r="QI13" s="162"/>
      <c r="QJ13" s="164"/>
      <c r="QK13" s="158"/>
      <c r="QL13" s="159"/>
      <c r="QM13" s="160"/>
      <c r="QN13" s="159"/>
      <c r="QO13" s="160"/>
      <c r="QP13" s="159"/>
      <c r="QQ13" s="160"/>
      <c r="QR13" s="159"/>
      <c r="QS13" s="198"/>
      <c r="QT13" s="198"/>
      <c r="QU13" s="156"/>
      <c r="QV13" s="156"/>
      <c r="QW13" s="156"/>
      <c r="QX13" s="157"/>
      <c r="QY13" s="160"/>
      <c r="QZ13" s="159"/>
      <c r="RA13" s="163"/>
      <c r="RB13" s="159"/>
      <c r="RC13" s="163"/>
      <c r="RD13" s="159"/>
      <c r="RE13" s="163"/>
      <c r="RF13" s="159"/>
      <c r="RG13" s="198"/>
      <c r="RH13" s="198"/>
      <c r="RI13" s="157"/>
      <c r="RJ13" s="157"/>
      <c r="RK13" s="156"/>
      <c r="RL13" s="156"/>
      <c r="RM13" s="156"/>
      <c r="RN13" s="156"/>
      <c r="RO13" s="157"/>
      <c r="RP13" s="163"/>
      <c r="RQ13" s="155" t="s">
        <v>349</v>
      </c>
      <c r="RR13" s="198" t="s">
        <v>349</v>
      </c>
      <c r="RS13" s="165"/>
      <c r="RT13" s="159" t="s">
        <v>349</v>
      </c>
      <c r="RU13" s="198"/>
      <c r="RV13" s="165"/>
      <c r="RW13" s="159"/>
      <c r="RX13" s="165"/>
      <c r="RY13" s="159" t="s">
        <v>349</v>
      </c>
      <c r="RZ13" s="198"/>
      <c r="SA13" s="198"/>
      <c r="SB13" s="157"/>
      <c r="SC13" s="157"/>
      <c r="SD13" s="156"/>
      <c r="SE13" s="156"/>
      <c r="SF13" s="156"/>
      <c r="SG13" s="156"/>
      <c r="SH13" s="156"/>
      <c r="SI13" s="156"/>
      <c r="SJ13" s="157"/>
      <c r="SK13" s="165"/>
      <c r="SL13" s="155"/>
      <c r="SM13" s="198"/>
      <c r="SN13" s="166"/>
      <c r="SO13" s="155"/>
      <c r="SP13" s="201"/>
      <c r="SQ13" s="198"/>
      <c r="SR13" s="166"/>
      <c r="SS13" s="159"/>
      <c r="ST13" s="166"/>
      <c r="SU13" s="159"/>
      <c r="SV13" s="198"/>
      <c r="SW13" s="198"/>
      <c r="SX13" s="157"/>
      <c r="SY13" s="157"/>
      <c r="SZ13" s="156"/>
      <c r="TA13" s="156"/>
      <c r="TB13" s="156"/>
      <c r="TC13" s="156"/>
      <c r="TD13" s="156"/>
      <c r="TE13" s="156"/>
      <c r="TF13" s="156"/>
      <c r="TG13" s="156"/>
      <c r="TH13" s="156"/>
      <c r="TI13" s="157"/>
      <c r="TJ13" s="166"/>
      <c r="TK13" s="151"/>
      <c r="TL13" s="146"/>
      <c r="TM13" s="152"/>
      <c r="TN13" s="149"/>
      <c r="TO13" s="152"/>
      <c r="TP13" s="154"/>
      <c r="TQ13" s="168"/>
      <c r="TR13" s="169"/>
      <c r="TS13" s="143"/>
      <c r="TT13" s="169"/>
      <c r="TU13" s="143"/>
      <c r="TV13" s="169"/>
      <c r="TW13" s="143"/>
      <c r="TX13" s="169"/>
      <c r="TY13" s="148"/>
      <c r="TZ13" s="170"/>
      <c r="UA13" s="148"/>
      <c r="UB13" s="171"/>
      <c r="UC13" s="148"/>
      <c r="UD13" s="171"/>
      <c r="UE13" s="148"/>
      <c r="UF13" s="171"/>
      <c r="UG13" s="148"/>
      <c r="UH13" s="171"/>
      <c r="UI13" s="148"/>
      <c r="UJ13" s="172"/>
      <c r="UK13" s="148"/>
      <c r="UL13" s="173"/>
      <c r="UM13" s="148"/>
      <c r="UN13" s="173"/>
      <c r="UO13" s="100"/>
      <c r="UP13" s="173"/>
      <c r="UQ13" s="100"/>
      <c r="UR13" s="173"/>
      <c r="US13" s="177"/>
      <c r="UT13" s="174"/>
      <c r="UU13" s="214"/>
      <c r="UV13" s="175"/>
      <c r="UW13" s="148"/>
      <c r="UX13" s="175"/>
      <c r="UY13" s="148"/>
      <c r="UZ13" s="175"/>
      <c r="VA13" s="148"/>
      <c r="VB13" s="175"/>
      <c r="VC13" s="148"/>
      <c r="VD13" s="215"/>
      <c r="VE13" s="144"/>
      <c r="VF13" s="143"/>
      <c r="VG13" s="105"/>
      <c r="VH13" s="142"/>
      <c r="VI13" s="177"/>
      <c r="VJ13" s="105"/>
      <c r="VK13" s="142"/>
      <c r="VL13" s="143"/>
      <c r="VM13" s="103"/>
      <c r="VN13" s="142"/>
      <c r="VO13" s="177"/>
      <c r="VP13" s="105"/>
      <c r="VQ13" s="142"/>
      <c r="VR13" s="177"/>
      <c r="VS13" s="105"/>
      <c r="VT13" s="142"/>
      <c r="VU13" s="177"/>
      <c r="VV13" s="105"/>
      <c r="VW13" s="142"/>
      <c r="VX13" s="177"/>
      <c r="VY13" s="103"/>
      <c r="VZ13" s="177"/>
      <c r="WA13" s="177"/>
      <c r="WB13" s="103"/>
      <c r="WC13" s="178">
        <f t="shared" si="6"/>
        <v>0</v>
      </c>
      <c r="WD13" s="107"/>
      <c r="WE13" s="151"/>
      <c r="WF13" s="146"/>
      <c r="WG13" s="152"/>
      <c r="WH13" s="149"/>
      <c r="WI13" s="152"/>
      <c r="WJ13" s="154"/>
      <c r="WK13" s="179"/>
      <c r="WL13" s="108"/>
      <c r="WM13" s="162"/>
      <c r="WN13" s="162"/>
      <c r="WO13" s="162"/>
      <c r="WP13" s="108"/>
      <c r="WQ13" s="115">
        <f t="shared" si="7"/>
        <v>0</v>
      </c>
      <c r="WR13" s="88"/>
      <c r="WS13" s="109"/>
    </row>
    <row r="14" spans="1:617" s="2" customFormat="1" ht="18.600000000000001" thickBot="1" x14ac:dyDescent="0.35">
      <c r="A14" s="112"/>
      <c r="B14" s="466" t="s">
        <v>385</v>
      </c>
      <c r="C14" s="194"/>
      <c r="D14" s="196"/>
      <c r="E14" s="195"/>
      <c r="F14" s="558"/>
      <c r="G14" s="541"/>
      <c r="H14" s="537"/>
      <c r="I14" s="507"/>
      <c r="J14" s="507"/>
      <c r="K14" s="507"/>
      <c r="L14" s="507"/>
      <c r="M14" s="507"/>
      <c r="N14" s="507"/>
      <c r="O14" s="538"/>
      <c r="P14" s="507"/>
      <c r="Q14" s="538"/>
      <c r="R14" s="507"/>
      <c r="S14" s="535"/>
      <c r="T14" s="537"/>
      <c r="U14" s="507"/>
      <c r="V14" s="538"/>
      <c r="W14" s="507"/>
      <c r="X14" s="537"/>
      <c r="Y14" s="507"/>
      <c r="Z14" s="507"/>
      <c r="AA14" s="507"/>
      <c r="AB14" s="537"/>
      <c r="AC14" s="538"/>
      <c r="AD14" s="507"/>
      <c r="AE14" s="535"/>
      <c r="AF14" s="536"/>
      <c r="AG14" s="507"/>
      <c r="AH14" s="538"/>
      <c r="AI14" s="507"/>
      <c r="AJ14" s="507"/>
      <c r="AK14" s="507"/>
      <c r="AL14" s="507"/>
      <c r="AM14" s="507"/>
      <c r="AN14" s="507"/>
      <c r="AO14" s="507"/>
      <c r="AP14" s="507"/>
      <c r="AQ14" s="535"/>
      <c r="AR14" s="563"/>
      <c r="AS14" s="507"/>
      <c r="AT14" s="507"/>
      <c r="AU14" s="507"/>
      <c r="AV14" s="507"/>
      <c r="AW14" s="507"/>
      <c r="AX14" s="507"/>
      <c r="AY14" s="507"/>
      <c r="AZ14" s="537"/>
      <c r="BA14" s="538"/>
      <c r="BB14" s="507"/>
      <c r="BC14" s="535"/>
      <c r="BD14" s="383"/>
      <c r="BE14" s="340"/>
      <c r="BF14" s="384"/>
      <c r="BG14" s="337"/>
      <c r="BH14" s="340"/>
      <c r="BI14" s="507"/>
      <c r="BJ14" s="507"/>
      <c r="BK14" s="507"/>
      <c r="BL14" s="507"/>
      <c r="BM14" s="507"/>
      <c r="BN14" s="507"/>
      <c r="BO14" s="535"/>
      <c r="BP14" s="536"/>
      <c r="BQ14" s="537"/>
      <c r="BR14" s="538"/>
      <c r="BS14" s="507"/>
      <c r="BT14" s="537"/>
      <c r="BU14" s="507"/>
      <c r="BV14" s="507"/>
      <c r="BW14" s="507"/>
      <c r="BX14" s="507"/>
      <c r="BY14" s="507"/>
      <c r="BZ14" s="507"/>
      <c r="CA14" s="535"/>
      <c r="CB14" s="536"/>
      <c r="CC14" s="537"/>
      <c r="CD14" s="538"/>
      <c r="CE14" s="507"/>
      <c r="CF14" s="537"/>
      <c r="CG14" s="507"/>
      <c r="CH14" s="507"/>
      <c r="CI14" s="507"/>
      <c r="CJ14" s="507"/>
      <c r="CK14" s="507"/>
      <c r="CL14" s="507"/>
      <c r="CM14" s="535"/>
      <c r="CN14" s="536"/>
      <c r="CO14" s="537"/>
      <c r="CP14" s="538"/>
      <c r="CQ14" s="507"/>
      <c r="CR14" s="537"/>
      <c r="CS14" s="507"/>
      <c r="CT14" s="507"/>
      <c r="CU14" s="507"/>
      <c r="CV14" s="507"/>
      <c r="CW14" s="507"/>
      <c r="CX14" s="507"/>
      <c r="CY14" s="535"/>
      <c r="CZ14" s="88"/>
      <c r="DA14" s="89"/>
      <c r="DB14" s="422">
        <f t="shared" si="1"/>
        <v>0</v>
      </c>
      <c r="DC14" s="416" t="str">
        <f t="shared" si="1"/>
        <v>Secretario</v>
      </c>
      <c r="DD14" s="116"/>
      <c r="DE14" s="116"/>
      <c r="DF14" s="116"/>
      <c r="DG14" s="117"/>
      <c r="DH14" s="555"/>
      <c r="DI14" s="417"/>
      <c r="DJ14" s="417"/>
      <c r="DK14" s="417"/>
      <c r="DL14" s="417"/>
      <c r="DM14" s="417"/>
      <c r="DN14" s="417"/>
      <c r="DO14" s="417"/>
      <c r="DP14" s="517"/>
      <c r="DQ14" s="557"/>
      <c r="DR14" s="122"/>
      <c r="DS14" s="123"/>
      <c r="DT14" s="124"/>
      <c r="DU14" s="125"/>
      <c r="DV14" s="126"/>
      <c r="DW14" s="125"/>
      <c r="DX14" s="126"/>
      <c r="DY14" s="127"/>
      <c r="DZ14" s="127"/>
      <c r="EA14" s="127"/>
      <c r="EB14" s="128"/>
      <c r="EC14" s="128"/>
      <c r="ED14" s="128"/>
      <c r="EE14" s="128"/>
      <c r="EF14" s="127"/>
      <c r="EG14" s="128"/>
      <c r="EH14" s="129"/>
      <c r="EI14" s="549"/>
      <c r="EJ14" s="565"/>
      <c r="EK14" s="417"/>
      <c r="EL14" s="417"/>
      <c r="EM14" s="417"/>
      <c r="EN14" s="417"/>
      <c r="EO14" s="517"/>
      <c r="EP14" s="517"/>
      <c r="EQ14" s="517"/>
      <c r="ER14" s="417"/>
      <c r="ES14" s="417"/>
      <c r="ET14" s="417"/>
      <c r="EU14" s="417"/>
      <c r="EV14" s="517"/>
      <c r="EW14" s="417"/>
      <c r="EX14" s="556"/>
      <c r="EY14" s="552"/>
      <c r="EZ14" s="553"/>
      <c r="FA14" s="518"/>
      <c r="FB14" s="519"/>
      <c r="FC14" s="519"/>
      <c r="FD14" s="520"/>
      <c r="FE14" s="518"/>
      <c r="FF14" s="521"/>
      <c r="FG14" s="521"/>
      <c r="FH14" s="521"/>
      <c r="FI14" s="519"/>
      <c r="FJ14" s="519"/>
      <c r="FK14" s="519"/>
      <c r="FL14" s="519"/>
      <c r="FM14" s="521"/>
      <c r="FN14" s="522"/>
      <c r="FO14" s="523"/>
      <c r="FP14" s="554"/>
      <c r="FQ14" s="553"/>
      <c r="FR14" s="126"/>
      <c r="FS14" s="125"/>
      <c r="FT14" s="126"/>
      <c r="FU14" s="127"/>
      <c r="FV14" s="127"/>
      <c r="FW14" s="127"/>
      <c r="FX14" s="128"/>
      <c r="FY14" s="128"/>
      <c r="FZ14" s="128"/>
      <c r="GA14" s="128"/>
      <c r="GB14" s="127"/>
      <c r="GC14" s="133"/>
      <c r="GD14" s="129"/>
      <c r="GE14" s="110"/>
      <c r="GF14" s="88"/>
      <c r="GG14" s="216"/>
      <c r="GH14" s="114">
        <f t="shared" si="2"/>
        <v>0</v>
      </c>
      <c r="GI14" s="114" t="str">
        <f t="shared" si="2"/>
        <v>Secretario</v>
      </c>
      <c r="GJ14" s="414"/>
      <c r="GK14" s="526"/>
      <c r="GL14" s="526"/>
      <c r="GM14" s="526"/>
      <c r="GN14" s="526"/>
      <c r="GO14" s="526"/>
      <c r="GP14" s="526"/>
      <c r="GQ14" s="526"/>
      <c r="GR14" s="415"/>
      <c r="GS14" s="134"/>
      <c r="GT14" s="135"/>
      <c r="GU14" s="136"/>
      <c r="GV14" s="137"/>
      <c r="GW14" s="136"/>
      <c r="GX14" s="137"/>
      <c r="GY14" s="135">
        <f t="shared" si="4"/>
        <v>0</v>
      </c>
      <c r="GZ14" s="136"/>
      <c r="HA14" s="217"/>
      <c r="HB14" s="136"/>
      <c r="HC14" s="217"/>
      <c r="HD14" s="138">
        <f t="shared" si="5"/>
        <v>0</v>
      </c>
      <c r="HE14" s="136"/>
      <c r="HF14" s="217"/>
      <c r="HG14" s="136"/>
      <c r="HH14" s="218"/>
      <c r="HI14" s="162"/>
      <c r="HJ14" s="162"/>
      <c r="HK14" s="162"/>
      <c r="HL14" s="219"/>
      <c r="HM14" s="135">
        <f t="shared" si="10"/>
        <v>0</v>
      </c>
      <c r="HN14" s="97"/>
      <c r="HO14" s="92"/>
      <c r="HP14" s="106"/>
      <c r="HQ14" s="98"/>
      <c r="HR14" s="98"/>
      <c r="HS14" s="99"/>
      <c r="HT14" s="97"/>
      <c r="HU14" s="92"/>
      <c r="HV14" s="106"/>
      <c r="HW14" s="98"/>
      <c r="HX14" s="98" t="s">
        <v>348</v>
      </c>
      <c r="HY14" s="99"/>
      <c r="HZ14" s="97"/>
      <c r="IA14" s="92"/>
      <c r="IB14" s="106"/>
      <c r="IC14" s="98"/>
      <c r="ID14" s="98"/>
      <c r="IE14" s="99"/>
      <c r="IF14" s="97"/>
      <c r="IG14" s="92"/>
      <c r="IH14" s="106"/>
      <c r="II14" s="98"/>
      <c r="IJ14" s="98"/>
      <c r="IK14" s="99"/>
      <c r="IL14" s="97"/>
      <c r="IM14" s="92"/>
      <c r="IN14" s="106"/>
      <c r="IO14" s="98"/>
      <c r="IP14" s="98"/>
      <c r="IQ14" s="99"/>
      <c r="IR14" s="97"/>
      <c r="IS14" s="92"/>
      <c r="IT14" s="106"/>
      <c r="IU14" s="98"/>
      <c r="IV14" s="98"/>
      <c r="IW14" s="104"/>
      <c r="IX14" s="102"/>
      <c r="IY14" s="92"/>
      <c r="IZ14" s="106"/>
      <c r="JA14" s="98"/>
      <c r="JB14" s="98"/>
      <c r="JC14" s="99"/>
      <c r="JD14" s="97"/>
      <c r="JE14" s="92"/>
      <c r="JF14" s="106"/>
      <c r="JG14" s="98"/>
      <c r="JH14" s="98"/>
      <c r="JI14" s="104"/>
      <c r="JJ14" s="102"/>
      <c r="JK14" s="92"/>
      <c r="JL14" s="106"/>
      <c r="JM14" s="98"/>
      <c r="JN14" s="98"/>
      <c r="JO14" s="99"/>
      <c r="JP14" s="97"/>
      <c r="JQ14" s="92"/>
      <c r="JR14" s="106"/>
      <c r="JS14" s="98"/>
      <c r="JT14" s="98"/>
      <c r="JU14" s="104" t="s">
        <v>348</v>
      </c>
      <c r="JV14" s="102"/>
      <c r="JW14" s="92"/>
      <c r="JX14" s="106"/>
      <c r="JY14" s="98"/>
      <c r="JZ14" s="98"/>
      <c r="KA14" s="99"/>
      <c r="KB14" s="97"/>
      <c r="KC14" s="92"/>
      <c r="KD14" s="106"/>
      <c r="KE14" s="98"/>
      <c r="KF14" s="98"/>
      <c r="KG14" s="104"/>
      <c r="KH14" s="102"/>
      <c r="KI14" s="92"/>
      <c r="KJ14" s="106"/>
      <c r="KK14" s="98"/>
      <c r="KL14" s="98"/>
      <c r="KM14" s="99"/>
      <c r="KN14" s="97"/>
      <c r="KO14" s="92"/>
      <c r="KP14" s="106"/>
      <c r="KQ14" s="98"/>
      <c r="KR14" s="98"/>
      <c r="KS14" s="104"/>
      <c r="KT14" s="102"/>
      <c r="KU14" s="92"/>
      <c r="KV14" s="106"/>
      <c r="KW14" s="98"/>
      <c r="KX14" s="98"/>
      <c r="KY14" s="99"/>
      <c r="KZ14" s="97"/>
      <c r="LA14" s="92"/>
      <c r="LB14" s="106"/>
      <c r="LC14" s="98"/>
      <c r="LD14" s="98"/>
      <c r="LE14" s="104"/>
      <c r="LF14" s="102"/>
      <c r="LG14" s="92"/>
      <c r="LH14" s="106"/>
      <c r="LI14" s="98"/>
      <c r="LJ14" s="98"/>
      <c r="LK14" s="99"/>
      <c r="LL14" s="100"/>
      <c r="LM14" s="98"/>
      <c r="LN14" s="100"/>
      <c r="LO14" s="98"/>
      <c r="LP14" s="100"/>
      <c r="LQ14" s="99"/>
      <c r="LR14" s="100"/>
      <c r="LS14" s="98"/>
      <c r="LT14" s="100"/>
      <c r="LU14" s="98"/>
      <c r="LV14" s="100"/>
      <c r="LW14" s="99"/>
      <c r="LX14" s="100"/>
      <c r="LY14" s="98"/>
      <c r="LZ14" s="100"/>
      <c r="MA14" s="98"/>
      <c r="MB14" s="100"/>
      <c r="MC14" s="99"/>
      <c r="MD14" s="100"/>
      <c r="ME14" s="98"/>
      <c r="MF14" s="100"/>
      <c r="MG14" s="98"/>
      <c r="MH14" s="100"/>
      <c r="MI14" s="99"/>
      <c r="MJ14" s="100"/>
      <c r="MK14" s="98"/>
      <c r="ML14" s="100"/>
      <c r="MM14" s="98"/>
      <c r="MN14" s="100"/>
      <c r="MO14" s="99"/>
      <c r="MP14" s="100"/>
      <c r="MQ14" s="98"/>
      <c r="MR14" s="100"/>
      <c r="MS14" s="98"/>
      <c r="MT14" s="100"/>
      <c r="MU14" s="99"/>
      <c r="MV14" s="100"/>
      <c r="MW14" s="98"/>
      <c r="MX14" s="100"/>
      <c r="MY14" s="98"/>
      <c r="MZ14" s="100"/>
      <c r="NA14" s="99"/>
      <c r="NB14" s="100"/>
      <c r="NC14" s="98"/>
      <c r="ND14" s="100"/>
      <c r="NE14" s="98"/>
      <c r="NF14" s="100"/>
      <c r="NG14" s="99"/>
      <c r="NH14" s="100"/>
      <c r="NI14" s="98"/>
      <c r="NJ14" s="100"/>
      <c r="NK14" s="98"/>
      <c r="NL14" s="100"/>
      <c r="NM14" s="99"/>
      <c r="NN14" s="100"/>
      <c r="NO14" s="98"/>
      <c r="NP14" s="100"/>
      <c r="NQ14" s="98"/>
      <c r="NR14" s="100"/>
      <c r="NS14" s="99"/>
      <c r="NT14" s="100"/>
      <c r="NU14" s="98"/>
      <c r="NV14" s="100"/>
      <c r="NW14" s="98"/>
      <c r="NX14" s="100"/>
      <c r="NY14" s="99"/>
      <c r="NZ14" s="100"/>
      <c r="OA14" s="98"/>
      <c r="OB14" s="100"/>
      <c r="OC14" s="98"/>
      <c r="OD14" s="100"/>
      <c r="OE14" s="99"/>
      <c r="OF14" s="100"/>
      <c r="OG14" s="98"/>
      <c r="OH14" s="100"/>
      <c r="OI14" s="98"/>
      <c r="OJ14" s="100"/>
      <c r="OK14" s="99"/>
      <c r="OL14" s="100"/>
      <c r="OM14" s="98"/>
      <c r="ON14" s="100"/>
      <c r="OO14" s="98"/>
      <c r="OP14" s="100"/>
      <c r="OQ14" s="99"/>
      <c r="OR14" s="100"/>
      <c r="OS14" s="98"/>
      <c r="OT14" s="386"/>
      <c r="OU14" s="342"/>
      <c r="OV14" s="386"/>
      <c r="OW14" s="387"/>
      <c r="OX14" s="386"/>
      <c r="OY14" s="342"/>
      <c r="OZ14" s="386"/>
      <c r="PA14" s="342"/>
      <c r="PB14" s="386"/>
      <c r="PC14" s="387"/>
      <c r="PD14" s="386"/>
      <c r="PE14" s="342"/>
      <c r="PF14" s="386"/>
      <c r="PG14" s="342"/>
      <c r="PH14" s="386"/>
      <c r="PI14" s="387"/>
      <c r="PJ14" s="191"/>
      <c r="PK14" s="101"/>
      <c r="PL14" s="100"/>
      <c r="PM14" s="101"/>
      <c r="PN14" s="143"/>
      <c r="PO14" s="146"/>
      <c r="PP14" s="168"/>
      <c r="PQ14" s="147"/>
      <c r="PR14" s="143"/>
      <c r="PS14" s="147"/>
      <c r="PT14" s="143"/>
      <c r="PU14" s="149"/>
      <c r="PV14" s="168"/>
      <c r="PW14" s="150"/>
      <c r="PX14" s="143"/>
      <c r="PY14" s="150"/>
      <c r="PZ14" s="143"/>
      <c r="QA14" s="150"/>
      <c r="QB14" s="206"/>
      <c r="QC14" s="146"/>
      <c r="QD14" s="151"/>
      <c r="QE14" s="149"/>
      <c r="QF14" s="151"/>
      <c r="QG14" s="154"/>
      <c r="QH14" s="155"/>
      <c r="QI14" s="156"/>
      <c r="QJ14" s="157"/>
      <c r="QK14" s="158"/>
      <c r="QL14" s="199"/>
      <c r="QM14" s="160"/>
      <c r="QN14" s="199"/>
      <c r="QO14" s="160"/>
      <c r="QP14" s="199"/>
      <c r="QQ14" s="160"/>
      <c r="QR14" s="199"/>
      <c r="QS14" s="185"/>
      <c r="QT14" s="185"/>
      <c r="QU14" s="95"/>
      <c r="QV14" s="95"/>
      <c r="QW14" s="156"/>
      <c r="QX14" s="157"/>
      <c r="QY14" s="160"/>
      <c r="QZ14" s="199"/>
      <c r="RA14" s="163"/>
      <c r="RB14" s="199"/>
      <c r="RC14" s="163"/>
      <c r="RD14" s="199"/>
      <c r="RE14" s="163"/>
      <c r="RF14" s="199"/>
      <c r="RG14" s="185"/>
      <c r="RH14" s="185"/>
      <c r="RI14" s="198"/>
      <c r="RJ14" s="198"/>
      <c r="RK14" s="95"/>
      <c r="RL14" s="95"/>
      <c r="RM14" s="95"/>
      <c r="RN14" s="156"/>
      <c r="RO14" s="157"/>
      <c r="RP14" s="163"/>
      <c r="RQ14" s="200" t="s">
        <v>349</v>
      </c>
      <c r="RR14" s="198" t="s">
        <v>349</v>
      </c>
      <c r="RS14" s="165"/>
      <c r="RT14" s="199"/>
      <c r="RU14" s="198"/>
      <c r="RV14" s="165"/>
      <c r="RW14" s="199"/>
      <c r="RX14" s="165"/>
      <c r="RY14" s="199"/>
      <c r="RZ14" s="185"/>
      <c r="SA14" s="185"/>
      <c r="SB14" s="198"/>
      <c r="SC14" s="198"/>
      <c r="SD14" s="95"/>
      <c r="SE14" s="95"/>
      <c r="SF14" s="95"/>
      <c r="SG14" s="95"/>
      <c r="SH14" s="95"/>
      <c r="SI14" s="156"/>
      <c r="SJ14" s="157"/>
      <c r="SK14" s="165"/>
      <c r="SL14" s="200"/>
      <c r="SM14" s="198"/>
      <c r="SN14" s="166"/>
      <c r="SO14" s="200"/>
      <c r="SP14" s="201"/>
      <c r="SQ14" s="198"/>
      <c r="SR14" s="166"/>
      <c r="SS14" s="199"/>
      <c r="ST14" s="166"/>
      <c r="SU14" s="199"/>
      <c r="SV14" s="185"/>
      <c r="SW14" s="185"/>
      <c r="SX14" s="198"/>
      <c r="SY14" s="198"/>
      <c r="SZ14" s="95"/>
      <c r="TA14" s="95"/>
      <c r="TB14" s="95"/>
      <c r="TC14" s="95"/>
      <c r="TD14" s="95"/>
      <c r="TE14" s="95"/>
      <c r="TF14" s="95"/>
      <c r="TG14" s="95"/>
      <c r="TH14" s="156"/>
      <c r="TI14" s="157"/>
      <c r="TJ14" s="166"/>
      <c r="TK14" s="206"/>
      <c r="TL14" s="146"/>
      <c r="TM14" s="220"/>
      <c r="TN14" s="149"/>
      <c r="TO14" s="220"/>
      <c r="TP14" s="154"/>
      <c r="TQ14" s="214"/>
      <c r="TR14" s="169"/>
      <c r="TS14" s="148"/>
      <c r="TT14" s="169"/>
      <c r="TU14" s="148"/>
      <c r="TV14" s="169"/>
      <c r="TW14" s="143"/>
      <c r="TX14" s="169"/>
      <c r="TY14" s="148"/>
      <c r="TZ14" s="170"/>
      <c r="UA14" s="148"/>
      <c r="UB14" s="171"/>
      <c r="UC14" s="148"/>
      <c r="UD14" s="171"/>
      <c r="UE14" s="148"/>
      <c r="UF14" s="171"/>
      <c r="UG14" s="148"/>
      <c r="UH14" s="171"/>
      <c r="UI14" s="148"/>
      <c r="UJ14" s="172"/>
      <c r="UK14" s="148"/>
      <c r="UL14" s="173"/>
      <c r="UM14" s="148"/>
      <c r="UN14" s="173"/>
      <c r="UO14" s="177"/>
      <c r="UP14" s="173"/>
      <c r="UQ14" s="177"/>
      <c r="UR14" s="173"/>
      <c r="US14" s="148"/>
      <c r="UT14" s="174"/>
      <c r="UU14" s="148"/>
      <c r="UV14" s="175"/>
      <c r="UW14" s="148"/>
      <c r="UX14" s="175"/>
      <c r="UY14" s="148"/>
      <c r="UZ14" s="175"/>
      <c r="VA14" s="148"/>
      <c r="VB14" s="175"/>
      <c r="VC14" s="148"/>
      <c r="VD14" s="176"/>
      <c r="VE14" s="102"/>
      <c r="VF14" s="100"/>
      <c r="VG14" s="103"/>
      <c r="VH14" s="98"/>
      <c r="VI14" s="104"/>
      <c r="VJ14" s="105"/>
      <c r="VK14" s="98"/>
      <c r="VL14" s="100"/>
      <c r="VM14" s="105"/>
      <c r="VN14" s="98"/>
      <c r="VO14" s="104"/>
      <c r="VP14" s="105"/>
      <c r="VQ14" s="98"/>
      <c r="VR14" s="104"/>
      <c r="VS14" s="105"/>
      <c r="VT14" s="98"/>
      <c r="VU14" s="104"/>
      <c r="VV14" s="105"/>
      <c r="VW14" s="98"/>
      <c r="VX14" s="104"/>
      <c r="VY14" s="105"/>
      <c r="VZ14" s="98"/>
      <c r="WA14" s="100"/>
      <c r="WB14" s="103"/>
      <c r="WC14" s="178">
        <f t="shared" si="6"/>
        <v>0</v>
      </c>
      <c r="WD14" s="107"/>
      <c r="WE14" s="206"/>
      <c r="WF14" s="146"/>
      <c r="WG14" s="220"/>
      <c r="WH14" s="149"/>
      <c r="WI14" s="220"/>
      <c r="WJ14" s="154"/>
      <c r="WK14" s="179"/>
      <c r="WL14" s="221"/>
      <c r="WM14" s="162"/>
      <c r="WN14" s="162"/>
      <c r="WO14" s="162"/>
      <c r="WP14" s="221"/>
      <c r="WQ14" s="115">
        <f t="shared" si="7"/>
        <v>0</v>
      </c>
      <c r="WR14" s="88"/>
      <c r="WS14" s="109"/>
    </row>
    <row r="15" spans="1:617" s="2" customFormat="1" x14ac:dyDescent="0.3">
      <c r="A15" s="112"/>
      <c r="B15" s="466" t="s">
        <v>384</v>
      </c>
      <c r="C15" s="194"/>
      <c r="D15" s="196"/>
      <c r="E15" s="194"/>
      <c r="F15" s="194"/>
      <c r="G15" s="541"/>
      <c r="H15" s="537"/>
      <c r="I15" s="537"/>
      <c r="J15" s="537"/>
      <c r="K15" s="537"/>
      <c r="L15" s="537"/>
      <c r="M15" s="537"/>
      <c r="N15" s="537"/>
      <c r="O15" s="537"/>
      <c r="P15" s="537"/>
      <c r="Q15" s="537"/>
      <c r="R15" s="537"/>
      <c r="S15" s="538"/>
      <c r="T15" s="536"/>
      <c r="U15" s="537"/>
      <c r="V15" s="537"/>
      <c r="W15" s="537"/>
      <c r="X15" s="537"/>
      <c r="Y15" s="537"/>
      <c r="Z15" s="537"/>
      <c r="AA15" s="537"/>
      <c r="AB15" s="537"/>
      <c r="AC15" s="537"/>
      <c r="AD15" s="537"/>
      <c r="AE15" s="535"/>
      <c r="AF15" s="537"/>
      <c r="AG15" s="537"/>
      <c r="AH15" s="537"/>
      <c r="AI15" s="537"/>
      <c r="AJ15" s="537"/>
      <c r="AK15" s="537"/>
      <c r="AL15" s="537"/>
      <c r="AM15" s="537"/>
      <c r="AN15" s="537"/>
      <c r="AO15" s="537"/>
      <c r="AP15" s="537"/>
      <c r="AQ15" s="535"/>
      <c r="AR15" s="537"/>
      <c r="AS15" s="537"/>
      <c r="AT15" s="537"/>
      <c r="AU15" s="537"/>
      <c r="AV15" s="537"/>
      <c r="AW15" s="537"/>
      <c r="AX15" s="537"/>
      <c r="AY15" s="543"/>
      <c r="AZ15" s="537"/>
      <c r="BA15" s="537"/>
      <c r="BB15" s="537"/>
      <c r="BC15" s="197"/>
      <c r="BD15" s="188"/>
      <c r="BE15" s="188"/>
      <c r="BF15" s="188"/>
      <c r="BG15" s="188"/>
      <c r="BH15" s="188"/>
      <c r="BI15" s="537"/>
      <c r="BJ15" s="537"/>
      <c r="BK15" s="537"/>
      <c r="BL15" s="537"/>
      <c r="BM15" s="537"/>
      <c r="BN15" s="537"/>
      <c r="BO15" s="537"/>
      <c r="BP15" s="537"/>
      <c r="BQ15" s="537"/>
      <c r="BR15" s="537"/>
      <c r="BS15" s="537"/>
      <c r="BT15" s="537"/>
      <c r="BU15" s="537"/>
      <c r="BV15" s="537"/>
      <c r="BW15" s="537"/>
      <c r="BX15" s="537"/>
      <c r="BY15" s="537"/>
      <c r="BZ15" s="537"/>
      <c r="CA15" s="537"/>
      <c r="CB15" s="537"/>
      <c r="CC15" s="537"/>
      <c r="CD15" s="537"/>
      <c r="CE15" s="537"/>
      <c r="CF15" s="537"/>
      <c r="CG15" s="537"/>
      <c r="CH15" s="537"/>
      <c r="CI15" s="537"/>
      <c r="CJ15" s="537"/>
      <c r="CK15" s="537"/>
      <c r="CL15" s="537"/>
      <c r="CM15" s="537"/>
      <c r="CN15" s="537"/>
      <c r="CO15" s="537"/>
      <c r="CP15" s="537"/>
      <c r="CQ15" s="537"/>
      <c r="CR15" s="537"/>
      <c r="CS15" s="537"/>
      <c r="CT15" s="537"/>
      <c r="CU15" s="537"/>
      <c r="CV15" s="537"/>
      <c r="CW15" s="537"/>
      <c r="CX15" s="537"/>
      <c r="CY15" s="537"/>
      <c r="CZ15" s="88"/>
      <c r="DA15" s="89"/>
      <c r="DB15" s="421">
        <f t="shared" si="1"/>
        <v>0</v>
      </c>
      <c r="DC15" s="416" t="str">
        <f t="shared" si="1"/>
        <v>Programa</v>
      </c>
      <c r="DD15" s="116"/>
      <c r="DE15" s="116"/>
      <c r="DF15" s="116"/>
      <c r="DG15" s="117"/>
      <c r="DH15" s="555"/>
      <c r="DI15" s="417"/>
      <c r="DJ15" s="417"/>
      <c r="DK15" s="417"/>
      <c r="DL15" s="417"/>
      <c r="DM15" s="417"/>
      <c r="DN15" s="417"/>
      <c r="DO15" s="417"/>
      <c r="DP15" s="517"/>
      <c r="DQ15" s="557"/>
      <c r="DR15" s="122"/>
      <c r="DS15" s="123"/>
      <c r="DT15" s="124"/>
      <c r="DU15" s="125"/>
      <c r="DV15" s="126"/>
      <c r="DW15" s="125"/>
      <c r="DX15" s="126"/>
      <c r="DY15" s="127"/>
      <c r="DZ15" s="127"/>
      <c r="EA15" s="127"/>
      <c r="EB15" s="128"/>
      <c r="EC15" s="128"/>
      <c r="ED15" s="128"/>
      <c r="EE15" s="128"/>
      <c r="EF15" s="127"/>
      <c r="EG15" s="128"/>
      <c r="EH15" s="129"/>
      <c r="EI15" s="549"/>
      <c r="EJ15" s="555"/>
      <c r="EK15" s="417"/>
      <c r="EL15" s="417"/>
      <c r="EM15" s="417"/>
      <c r="EN15" s="417"/>
      <c r="EO15" s="517"/>
      <c r="EP15" s="517"/>
      <c r="EQ15" s="517"/>
      <c r="ER15" s="417"/>
      <c r="ES15" s="417"/>
      <c r="ET15" s="417"/>
      <c r="EU15" s="417"/>
      <c r="EV15" s="517"/>
      <c r="EW15" s="417"/>
      <c r="EX15" s="556"/>
      <c r="EY15" s="552"/>
      <c r="EZ15" s="553"/>
      <c r="FA15" s="518"/>
      <c r="FB15" s="519"/>
      <c r="FC15" s="519"/>
      <c r="FD15" s="520"/>
      <c r="FE15" s="518"/>
      <c r="FF15" s="521"/>
      <c r="FG15" s="521"/>
      <c r="FH15" s="521"/>
      <c r="FI15" s="519"/>
      <c r="FJ15" s="519"/>
      <c r="FK15" s="519"/>
      <c r="FL15" s="519"/>
      <c r="FM15" s="521"/>
      <c r="FN15" s="522"/>
      <c r="FO15" s="523"/>
      <c r="FP15" s="554"/>
      <c r="FQ15" s="553"/>
      <c r="FR15" s="126"/>
      <c r="FS15" s="125"/>
      <c r="FT15" s="126"/>
      <c r="FU15" s="127"/>
      <c r="FV15" s="127"/>
      <c r="FW15" s="127"/>
      <c r="FX15" s="128"/>
      <c r="FY15" s="128"/>
      <c r="FZ15" s="128"/>
      <c r="GA15" s="128"/>
      <c r="GB15" s="127"/>
      <c r="GC15" s="133"/>
      <c r="GD15" s="129"/>
      <c r="GE15" s="110"/>
      <c r="GF15" s="88"/>
      <c r="GG15" s="211"/>
      <c r="GH15" s="114">
        <f t="shared" si="2"/>
        <v>0</v>
      </c>
      <c r="GI15" s="114" t="s">
        <v>384</v>
      </c>
      <c r="GJ15" s="536"/>
      <c r="GK15" s="526"/>
      <c r="GL15" s="526"/>
      <c r="GM15" s="526"/>
      <c r="GN15" s="526"/>
      <c r="GO15" s="526"/>
      <c r="GP15" s="526"/>
      <c r="GQ15" s="526"/>
      <c r="GR15" s="528"/>
      <c r="GS15" s="134"/>
      <c r="GT15" s="135">
        <f t="shared" si="3"/>
        <v>0</v>
      </c>
      <c r="GU15" s="178"/>
      <c r="GV15" s="137"/>
      <c r="GW15" s="136"/>
      <c r="GX15" s="137"/>
      <c r="GY15" s="135">
        <f t="shared" si="4"/>
        <v>0</v>
      </c>
      <c r="GZ15" s="136"/>
      <c r="HA15" s="93"/>
      <c r="HB15" s="136"/>
      <c r="HC15" s="93"/>
      <c r="HD15" s="138">
        <f t="shared" si="5"/>
        <v>0</v>
      </c>
      <c r="HE15" s="136"/>
      <c r="HF15" s="93"/>
      <c r="HG15" s="136"/>
      <c r="HH15" s="94"/>
      <c r="HI15" s="162"/>
      <c r="HJ15" s="162"/>
      <c r="HK15" s="162"/>
      <c r="HL15" s="96"/>
      <c r="HM15" s="135">
        <f t="shared" si="10"/>
        <v>0</v>
      </c>
      <c r="HN15" s="340"/>
      <c r="HO15" s="142"/>
      <c r="HP15" s="141"/>
      <c r="HQ15" s="142"/>
      <c r="HR15" s="142"/>
      <c r="HS15" s="121"/>
      <c r="HT15" s="340"/>
      <c r="HU15" s="337"/>
      <c r="HV15" s="340"/>
      <c r="HW15" s="337"/>
      <c r="HX15" s="337"/>
      <c r="HY15" s="388"/>
      <c r="HZ15" s="340"/>
      <c r="IA15" s="337"/>
      <c r="IB15" s="340"/>
      <c r="IC15" s="337"/>
      <c r="ID15" s="337"/>
      <c r="IE15" s="388"/>
      <c r="IF15" s="340"/>
      <c r="IG15" s="337"/>
      <c r="IH15" s="340"/>
      <c r="II15" s="337"/>
      <c r="IJ15" s="337"/>
      <c r="IK15" s="388"/>
      <c r="IL15" s="340"/>
      <c r="IM15" s="337"/>
      <c r="IN15" s="340"/>
      <c r="IO15" s="337"/>
      <c r="IP15" s="337"/>
      <c r="IQ15" s="388"/>
      <c r="IR15" s="340"/>
      <c r="IS15" s="337"/>
      <c r="IT15" s="141"/>
      <c r="IU15" s="142"/>
      <c r="IV15" s="142"/>
      <c r="IW15" s="177"/>
      <c r="IX15" s="383"/>
      <c r="IY15" s="337"/>
      <c r="IZ15" s="340"/>
      <c r="JA15" s="337"/>
      <c r="JB15" s="337"/>
      <c r="JC15" s="388"/>
      <c r="JD15" s="340"/>
      <c r="JE15" s="337"/>
      <c r="JF15" s="340"/>
      <c r="JG15" s="337"/>
      <c r="JH15" s="337"/>
      <c r="JI15" s="390"/>
      <c r="JJ15" s="383"/>
      <c r="JK15" s="337"/>
      <c r="JL15" s="340"/>
      <c r="JM15" s="337"/>
      <c r="JN15" s="337"/>
      <c r="JO15" s="388"/>
      <c r="JP15" s="340"/>
      <c r="JQ15" s="337"/>
      <c r="JR15" s="340"/>
      <c r="JS15" s="337"/>
      <c r="JT15" s="142"/>
      <c r="JU15" s="177"/>
      <c r="JV15" s="144"/>
      <c r="JW15" s="142"/>
      <c r="JX15" s="141"/>
      <c r="JY15" s="142"/>
      <c r="JZ15" s="142"/>
      <c r="KA15" s="121"/>
      <c r="KB15" s="141"/>
      <c r="KC15" s="142"/>
      <c r="KD15" s="141"/>
      <c r="KE15" s="142"/>
      <c r="KF15" s="142"/>
      <c r="KG15" s="177"/>
      <c r="KH15" s="144"/>
      <c r="KI15" s="142"/>
      <c r="KJ15" s="141"/>
      <c r="KK15" s="142"/>
      <c r="KL15" s="142"/>
      <c r="KM15" s="121"/>
      <c r="KN15" s="141"/>
      <c r="KO15" s="142"/>
      <c r="KP15" s="141"/>
      <c r="KQ15" s="142"/>
      <c r="KR15" s="142"/>
      <c r="KS15" s="177"/>
      <c r="KT15" s="144"/>
      <c r="KU15" s="142"/>
      <c r="KV15" s="141"/>
      <c r="KW15" s="142"/>
      <c r="KX15" s="142"/>
      <c r="KY15" s="121"/>
      <c r="KZ15" s="141"/>
      <c r="LA15" s="142"/>
      <c r="LB15" s="141"/>
      <c r="LC15" s="142"/>
      <c r="LD15" s="142"/>
      <c r="LE15" s="177"/>
      <c r="LF15" s="144"/>
      <c r="LG15" s="142"/>
      <c r="LH15" s="141"/>
      <c r="LI15" s="142"/>
      <c r="LJ15" s="142"/>
      <c r="LK15" s="121"/>
      <c r="LL15" s="141"/>
      <c r="LM15" s="142"/>
      <c r="LN15" s="142"/>
      <c r="LO15" s="142"/>
      <c r="LP15" s="142"/>
      <c r="LQ15" s="121"/>
      <c r="LR15" s="141"/>
      <c r="LS15" s="142"/>
      <c r="LT15" s="142"/>
      <c r="LU15" s="142"/>
      <c r="LV15" s="142"/>
      <c r="LW15" s="121"/>
      <c r="LX15" s="141"/>
      <c r="LY15" s="142"/>
      <c r="LZ15" s="142"/>
      <c r="MA15" s="142"/>
      <c r="MB15" s="142"/>
      <c r="MC15" s="121"/>
      <c r="MD15" s="141"/>
      <c r="ME15" s="142"/>
      <c r="MF15" s="142"/>
      <c r="MG15" s="142"/>
      <c r="MH15" s="142"/>
      <c r="MI15" s="121"/>
      <c r="MJ15" s="141"/>
      <c r="MK15" s="142"/>
      <c r="ML15" s="142"/>
      <c r="MM15" s="142"/>
      <c r="MN15" s="142"/>
      <c r="MO15" s="121"/>
      <c r="MP15" s="141"/>
      <c r="MQ15" s="142"/>
      <c r="MR15" s="142"/>
      <c r="MS15" s="142"/>
      <c r="MT15" s="142"/>
      <c r="MU15" s="121"/>
      <c r="MV15" s="141"/>
      <c r="MW15" s="142"/>
      <c r="MX15" s="142"/>
      <c r="MY15" s="142"/>
      <c r="MZ15" s="142"/>
      <c r="NA15" s="121"/>
      <c r="NB15" s="141"/>
      <c r="NC15" s="142"/>
      <c r="ND15" s="142"/>
      <c r="NE15" s="142"/>
      <c r="NF15" s="142"/>
      <c r="NG15" s="121"/>
      <c r="NH15" s="141"/>
      <c r="NI15" s="142"/>
      <c r="NJ15" s="142"/>
      <c r="NK15" s="142"/>
      <c r="NL15" s="142"/>
      <c r="NM15" s="121"/>
      <c r="NN15" s="141"/>
      <c r="NO15" s="142"/>
      <c r="NP15" s="142"/>
      <c r="NQ15" s="142"/>
      <c r="NR15" s="142"/>
      <c r="NS15" s="121"/>
      <c r="NT15" s="141"/>
      <c r="NU15" s="142"/>
      <c r="NV15" s="142"/>
      <c r="NW15" s="142"/>
      <c r="NX15" s="142"/>
      <c r="NY15" s="121"/>
      <c r="NZ15" s="141"/>
      <c r="OA15" s="142"/>
      <c r="OB15" s="142"/>
      <c r="OC15" s="142"/>
      <c r="OD15" s="142"/>
      <c r="OE15" s="121"/>
      <c r="OF15" s="141"/>
      <c r="OG15" s="142"/>
      <c r="OH15" s="142"/>
      <c r="OI15" s="142"/>
      <c r="OJ15" s="142"/>
      <c r="OK15" s="121"/>
      <c r="OL15" s="141"/>
      <c r="OM15" s="142"/>
      <c r="ON15" s="142"/>
      <c r="OO15" s="142"/>
      <c r="OP15" s="142"/>
      <c r="OQ15" s="121"/>
      <c r="OR15" s="141"/>
      <c r="OS15" s="142"/>
      <c r="OT15" s="142"/>
      <c r="OU15" s="142"/>
      <c r="OV15" s="142"/>
      <c r="OW15" s="121"/>
      <c r="OX15" s="141"/>
      <c r="OY15" s="142"/>
      <c r="OZ15" s="142"/>
      <c r="PA15" s="142"/>
      <c r="PB15" s="142"/>
      <c r="PC15" s="121"/>
      <c r="PD15" s="141"/>
      <c r="PE15" s="142"/>
      <c r="PF15" s="142"/>
      <c r="PG15" s="142"/>
      <c r="PH15" s="142"/>
      <c r="PI15" s="121"/>
      <c r="PJ15" s="168"/>
      <c r="PK15" s="101"/>
      <c r="PL15" s="143"/>
      <c r="PM15" s="101"/>
      <c r="PN15" s="143"/>
      <c r="PO15" s="146"/>
      <c r="PP15" s="168"/>
      <c r="PQ15" s="147"/>
      <c r="PR15" s="143"/>
      <c r="PS15" s="147"/>
      <c r="PT15" s="143"/>
      <c r="PU15" s="149"/>
      <c r="PV15" s="168"/>
      <c r="PW15" s="150"/>
      <c r="PX15" s="143"/>
      <c r="PY15" s="150"/>
      <c r="PZ15" s="143"/>
      <c r="QA15" s="150"/>
      <c r="QB15" s="183"/>
      <c r="QC15" s="146"/>
      <c r="QD15" s="184"/>
      <c r="QE15" s="149"/>
      <c r="QF15" s="184"/>
      <c r="QG15" s="154"/>
      <c r="QH15" s="155"/>
      <c r="QI15" s="156"/>
      <c r="QJ15" s="198"/>
      <c r="QK15" s="158"/>
      <c r="QL15" s="159"/>
      <c r="QM15" s="160"/>
      <c r="QN15" s="159"/>
      <c r="QO15" s="160"/>
      <c r="QP15" s="159"/>
      <c r="QQ15" s="160"/>
      <c r="QR15" s="155"/>
      <c r="QS15" s="222"/>
      <c r="QT15" s="222"/>
      <c r="QU15" s="223"/>
      <c r="QV15" s="95"/>
      <c r="QW15" s="95"/>
      <c r="QX15" s="198"/>
      <c r="QY15" s="160"/>
      <c r="QZ15" s="159"/>
      <c r="RA15" s="163"/>
      <c r="RB15" s="159"/>
      <c r="RC15" s="163"/>
      <c r="RD15" s="159"/>
      <c r="RE15" s="163"/>
      <c r="RF15" s="155"/>
      <c r="RG15" s="222"/>
      <c r="RH15" s="222"/>
      <c r="RI15" s="223"/>
      <c r="RJ15" s="223"/>
      <c r="RK15" s="223"/>
      <c r="RL15" s="223"/>
      <c r="RM15" s="95"/>
      <c r="RN15" s="95"/>
      <c r="RO15" s="198"/>
      <c r="RP15" s="163"/>
      <c r="RQ15" s="155" t="s">
        <v>349</v>
      </c>
      <c r="RR15" s="198" t="s">
        <v>349</v>
      </c>
      <c r="RS15" s="165"/>
      <c r="RT15" s="159"/>
      <c r="RU15" s="198"/>
      <c r="RV15" s="165"/>
      <c r="RW15" s="159"/>
      <c r="RX15" s="165"/>
      <c r="RY15" s="155"/>
      <c r="RZ15" s="222"/>
      <c r="SA15" s="222"/>
      <c r="SB15" s="223"/>
      <c r="SC15" s="223"/>
      <c r="SD15" s="223"/>
      <c r="SE15" s="223"/>
      <c r="SF15" s="223"/>
      <c r="SG15" s="223"/>
      <c r="SH15" s="95"/>
      <c r="SI15" s="95"/>
      <c r="SJ15" s="198"/>
      <c r="SK15" s="165"/>
      <c r="SL15" s="155"/>
      <c r="SM15" s="198"/>
      <c r="SN15" s="166"/>
      <c r="SO15" s="155"/>
      <c r="SP15" s="201"/>
      <c r="SQ15" s="198"/>
      <c r="SR15" s="166"/>
      <c r="SS15" s="159"/>
      <c r="ST15" s="166"/>
      <c r="SU15" s="155"/>
      <c r="SV15" s="222"/>
      <c r="SW15" s="222"/>
      <c r="SX15" s="223"/>
      <c r="SY15" s="223"/>
      <c r="SZ15" s="223"/>
      <c r="TA15" s="223"/>
      <c r="TB15" s="223"/>
      <c r="TC15" s="223"/>
      <c r="TD15" s="223"/>
      <c r="TE15" s="223"/>
      <c r="TF15" s="223"/>
      <c r="TG15" s="95"/>
      <c r="TH15" s="95"/>
      <c r="TI15" s="198"/>
      <c r="TJ15" s="166"/>
      <c r="TK15" s="183"/>
      <c r="TL15" s="146"/>
      <c r="TM15" s="184"/>
      <c r="TN15" s="149"/>
      <c r="TO15" s="184"/>
      <c r="TP15" s="154"/>
      <c r="TQ15" s="168"/>
      <c r="TR15" s="169"/>
      <c r="TS15" s="143"/>
      <c r="TT15" s="169"/>
      <c r="TU15" s="143"/>
      <c r="TV15" s="169"/>
      <c r="TW15" s="143"/>
      <c r="TX15" s="169"/>
      <c r="TY15" s="148"/>
      <c r="TZ15" s="170"/>
      <c r="UA15" s="143"/>
      <c r="UB15" s="171"/>
      <c r="UC15" s="143"/>
      <c r="UD15" s="171"/>
      <c r="UE15" s="143"/>
      <c r="UF15" s="171"/>
      <c r="UG15" s="143"/>
      <c r="UH15" s="171"/>
      <c r="UI15" s="143"/>
      <c r="UJ15" s="172"/>
      <c r="UK15" s="143"/>
      <c r="UL15" s="173"/>
      <c r="UM15" s="143"/>
      <c r="UN15" s="173"/>
      <c r="UO15" s="143"/>
      <c r="UP15" s="173"/>
      <c r="UQ15" s="143"/>
      <c r="UR15" s="173"/>
      <c r="US15" s="143"/>
      <c r="UT15" s="174"/>
      <c r="UU15" s="143"/>
      <c r="UV15" s="175"/>
      <c r="UW15" s="143"/>
      <c r="UX15" s="175"/>
      <c r="UY15" s="143"/>
      <c r="UZ15" s="175"/>
      <c r="VA15" s="143"/>
      <c r="VB15" s="175"/>
      <c r="VC15" s="143"/>
      <c r="VD15" s="176"/>
      <c r="VE15" s="144"/>
      <c r="VF15" s="177"/>
      <c r="VG15" s="105"/>
      <c r="VH15" s="141"/>
      <c r="VI15" s="177"/>
      <c r="VJ15" s="105"/>
      <c r="VK15" s="141"/>
      <c r="VL15" s="143"/>
      <c r="VM15" s="105"/>
      <c r="VN15" s="141"/>
      <c r="VO15" s="177"/>
      <c r="VP15" s="105"/>
      <c r="VQ15" s="141"/>
      <c r="VR15" s="177"/>
      <c r="VS15" s="105"/>
      <c r="VT15" s="141"/>
      <c r="VU15" s="177"/>
      <c r="VV15" s="105"/>
      <c r="VW15" s="141"/>
      <c r="VX15" s="177"/>
      <c r="VY15" s="105"/>
      <c r="VZ15" s="141"/>
      <c r="WA15" s="143"/>
      <c r="WB15" s="103"/>
      <c r="WC15" s="178">
        <f t="shared" si="6"/>
        <v>0</v>
      </c>
      <c r="WD15" s="107"/>
      <c r="WE15" s="183"/>
      <c r="WF15" s="146"/>
      <c r="WG15" s="184"/>
      <c r="WH15" s="149"/>
      <c r="WI15" s="184"/>
      <c r="WJ15" s="154"/>
      <c r="WK15" s="179"/>
      <c r="WL15" s="108"/>
      <c r="WM15" s="162"/>
      <c r="WN15" s="162"/>
      <c r="WO15" s="162"/>
      <c r="WP15" s="108"/>
      <c r="WQ15" s="115">
        <f t="shared" si="7"/>
        <v>0</v>
      </c>
      <c r="WR15" s="88"/>
      <c r="WS15" s="109"/>
    </row>
    <row r="16" spans="1:617" s="2" customFormat="1" ht="18.600000000000001" thickBot="1" x14ac:dyDescent="0.35">
      <c r="A16" s="224"/>
      <c r="B16" s="467" t="s">
        <v>375</v>
      </c>
      <c r="C16" s="464"/>
      <c r="D16" s="459"/>
      <c r="E16" s="257"/>
      <c r="F16" s="257"/>
      <c r="G16" s="544">
        <f ca="1">YEAR(NOW())-YEAR(C16)</f>
        <v>126</v>
      </c>
      <c r="H16" s="540"/>
      <c r="I16" s="539"/>
      <c r="J16" s="540"/>
      <c r="K16" s="539"/>
      <c r="L16" s="540"/>
      <c r="M16" s="539"/>
      <c r="N16" s="540"/>
      <c r="O16" s="539"/>
      <c r="P16" s="540"/>
      <c r="Q16" s="539"/>
      <c r="R16" s="540"/>
      <c r="S16" s="545"/>
      <c r="T16" s="546"/>
      <c r="U16" s="539"/>
      <c r="V16" s="540"/>
      <c r="W16" s="539"/>
      <c r="X16" s="540"/>
      <c r="Y16" s="539"/>
      <c r="Z16" s="540"/>
      <c r="AA16" s="539"/>
      <c r="AB16" s="540"/>
      <c r="AC16" s="539"/>
      <c r="AD16" s="540"/>
      <c r="AE16" s="547"/>
      <c r="AF16" s="540"/>
      <c r="AG16" s="539"/>
      <c r="AH16" s="540"/>
      <c r="AI16" s="539"/>
      <c r="AJ16" s="540"/>
      <c r="AK16" s="539"/>
      <c r="AL16" s="540"/>
      <c r="AM16" s="539"/>
      <c r="AN16" s="540"/>
      <c r="AO16" s="539"/>
      <c r="AP16" s="540"/>
      <c r="AQ16" s="547"/>
      <c r="AR16" s="540"/>
      <c r="AS16" s="539"/>
      <c r="AT16" s="540"/>
      <c r="AU16" s="539"/>
      <c r="AV16" s="540"/>
      <c r="AW16" s="539"/>
      <c r="AX16" s="540"/>
      <c r="AY16" s="539"/>
      <c r="AZ16" s="540"/>
      <c r="BA16" s="539"/>
      <c r="BB16" s="540"/>
      <c r="BC16" s="231"/>
      <c r="BD16" s="227"/>
      <c r="BE16" s="228"/>
      <c r="BF16" s="227"/>
      <c r="BG16" s="228"/>
      <c r="BH16" s="227"/>
      <c r="BI16" s="539"/>
      <c r="BJ16" s="540"/>
      <c r="BK16" s="539"/>
      <c r="BL16" s="540"/>
      <c r="BM16" s="539"/>
      <c r="BN16" s="540"/>
      <c r="BO16" s="539"/>
      <c r="BP16" s="540"/>
      <c r="BQ16" s="539"/>
      <c r="BR16" s="540"/>
      <c r="BS16" s="539"/>
      <c r="BT16" s="540"/>
      <c r="BU16" s="539"/>
      <c r="BV16" s="540"/>
      <c r="BW16" s="539"/>
      <c r="BX16" s="540"/>
      <c r="BY16" s="539"/>
      <c r="BZ16" s="540"/>
      <c r="CA16" s="539"/>
      <c r="CB16" s="540"/>
      <c r="CC16" s="539"/>
      <c r="CD16" s="540"/>
      <c r="CE16" s="539"/>
      <c r="CF16" s="540"/>
      <c r="CG16" s="539"/>
      <c r="CH16" s="540"/>
      <c r="CI16" s="539"/>
      <c r="CJ16" s="540"/>
      <c r="CK16" s="539"/>
      <c r="CL16" s="540"/>
      <c r="CM16" s="539"/>
      <c r="CN16" s="540"/>
      <c r="CO16" s="539"/>
      <c r="CP16" s="540"/>
      <c r="CQ16" s="539"/>
      <c r="CR16" s="540"/>
      <c r="CS16" s="539"/>
      <c r="CT16" s="540"/>
      <c r="CU16" s="539"/>
      <c r="CV16" s="540"/>
      <c r="CW16" s="539"/>
      <c r="CX16" s="540"/>
      <c r="CY16" s="539"/>
      <c r="CZ16" s="232"/>
      <c r="DA16" s="89"/>
      <c r="DB16" s="425">
        <f t="shared" si="1"/>
        <v>0</v>
      </c>
      <c r="DC16" s="233" t="str">
        <f t="shared" si="1"/>
        <v>Intendente</v>
      </c>
      <c r="DD16" s="235">
        <f t="shared" si="1"/>
        <v>0</v>
      </c>
      <c r="DE16" s="235">
        <f t="shared" si="0"/>
        <v>0</v>
      </c>
      <c r="DF16" s="235">
        <f t="shared" si="0"/>
        <v>0</v>
      </c>
      <c r="DG16" s="236">
        <f t="shared" ref="DG16" ca="1" si="11">(YEAR(NOW())-YEAR(DE16))*12+MONTH(NOW())-MONTH(DE16)</f>
        <v>1518</v>
      </c>
      <c r="DH16" s="237"/>
      <c r="DI16" s="238"/>
      <c r="DJ16" s="238"/>
      <c r="DK16" s="238"/>
      <c r="DL16" s="238"/>
      <c r="DM16" s="238"/>
      <c r="DN16" s="238"/>
      <c r="DO16" s="238"/>
      <c r="DP16" s="239"/>
      <c r="DQ16" s="240"/>
      <c r="DR16" s="241"/>
      <c r="DS16" s="242"/>
      <c r="DT16" s="243"/>
      <c r="DU16" s="244"/>
      <c r="DV16" s="245"/>
      <c r="DW16" s="244"/>
      <c r="DX16" s="245"/>
      <c r="DY16" s="246"/>
      <c r="DZ16" s="246"/>
      <c r="EA16" s="246"/>
      <c r="EB16" s="247"/>
      <c r="EC16" s="247"/>
      <c r="ED16" s="247"/>
      <c r="EE16" s="247"/>
      <c r="EF16" s="246"/>
      <c r="EG16" s="247"/>
      <c r="EH16" s="248"/>
      <c r="EI16" s="249"/>
      <c r="EJ16" s="237">
        <f t="shared" ref="EJ16" si="12">HA16</f>
        <v>0</v>
      </c>
      <c r="EK16" s="238">
        <f t="shared" ref="EK16" si="13">HC16</f>
        <v>0</v>
      </c>
      <c r="EL16" s="238">
        <f>PM16</f>
        <v>0</v>
      </c>
      <c r="EM16" s="238">
        <f>PQ16</f>
        <v>0</v>
      </c>
      <c r="EN16" s="238">
        <f t="shared" ref="EN16" si="14">VS16</f>
        <v>0</v>
      </c>
      <c r="EO16" s="239">
        <f t="shared" ref="EO16" si="15">RA16</f>
        <v>0</v>
      </c>
      <c r="EP16" s="239">
        <f t="shared" ref="EP16" si="16">RC16</f>
        <v>0</v>
      </c>
      <c r="EQ16" s="239">
        <f t="shared" ref="EQ16" si="17">RE16</f>
        <v>0</v>
      </c>
      <c r="ER16" s="238">
        <f>UF16</f>
        <v>0</v>
      </c>
      <c r="ES16" s="238">
        <f>UP16</f>
        <v>0</v>
      </c>
      <c r="ET16" s="238">
        <f t="shared" ref="ET16" si="18">UZ16</f>
        <v>0</v>
      </c>
      <c r="EU16" s="238">
        <f>QE16</f>
        <v>0</v>
      </c>
      <c r="EV16" s="239">
        <f>RP16</f>
        <v>0</v>
      </c>
      <c r="EW16" s="238">
        <f t="shared" ref="EW16" si="19">TN16</f>
        <v>0</v>
      </c>
      <c r="EX16" s="250">
        <f t="shared" ref="EX16" si="20">WH16</f>
        <v>0</v>
      </c>
      <c r="EY16" s="251"/>
      <c r="EZ16" s="252">
        <f t="shared" ref="EZ16" si="21">HF16</f>
        <v>0</v>
      </c>
      <c r="FA16" s="245">
        <f t="shared" ref="FA16" si="22">HH16</f>
        <v>0</v>
      </c>
      <c r="FB16" s="247">
        <f t="shared" ref="FB16" si="23">HL16</f>
        <v>0</v>
      </c>
      <c r="FC16" s="247">
        <f>PS16</f>
        <v>0</v>
      </c>
      <c r="FD16" s="244">
        <f>PW16</f>
        <v>0</v>
      </c>
      <c r="FE16" s="245">
        <f t="shared" ref="FE16" si="24">VV16</f>
        <v>0</v>
      </c>
      <c r="FF16" s="246">
        <f t="shared" ref="FF16" si="25">RS16</f>
        <v>0</v>
      </c>
      <c r="FG16" s="246">
        <f t="shared" ref="FG16" si="26">RV16</f>
        <v>0</v>
      </c>
      <c r="FH16" s="246">
        <f t="shared" ref="FH16" si="27">RX16</f>
        <v>0</v>
      </c>
      <c r="FI16" s="247">
        <f>UJ16</f>
        <v>0</v>
      </c>
      <c r="FJ16" s="247">
        <f>UT16</f>
        <v>0</v>
      </c>
      <c r="FK16" s="247">
        <f t="shared" ref="FK16" si="28">VD16</f>
        <v>0</v>
      </c>
      <c r="FL16" s="247">
        <f t="shared" ref="FL16" si="29">QG16</f>
        <v>0</v>
      </c>
      <c r="FM16" s="246">
        <f t="shared" ref="FM16" si="30">SK16</f>
        <v>0</v>
      </c>
      <c r="FN16" s="253">
        <f t="shared" ref="FN16" si="31">TP16</f>
        <v>0</v>
      </c>
      <c r="FO16" s="248">
        <f t="shared" ref="FO16" si="32">WJ16</f>
        <v>0</v>
      </c>
      <c r="FP16" s="254"/>
      <c r="FQ16" s="252">
        <f t="shared" ref="FQ16" si="33">WL16</f>
        <v>0</v>
      </c>
      <c r="FR16" s="245">
        <f t="shared" ref="FR16" si="34">WP16</f>
        <v>0</v>
      </c>
      <c r="FS16" s="244">
        <f t="shared" ref="FS16" si="35">PY16</f>
        <v>0</v>
      </c>
      <c r="FT16" s="245">
        <f t="shared" ref="FT16" si="36">WB16</f>
        <v>0</v>
      </c>
      <c r="FU16" s="246">
        <f t="shared" ref="FU16" si="37">SN16</f>
        <v>0</v>
      </c>
      <c r="FV16" s="246">
        <f t="shared" ref="FV16" si="38">SR16</f>
        <v>0</v>
      </c>
      <c r="FW16" s="246">
        <f>ST16</f>
        <v>0</v>
      </c>
      <c r="FX16" s="247">
        <f t="shared" ref="FX16" si="39">UJ16</f>
        <v>0</v>
      </c>
      <c r="FY16" s="247">
        <f t="shared" ref="FY16" si="40">UT16</f>
        <v>0</v>
      </c>
      <c r="FZ16" s="247">
        <f t="shared" ref="FZ16" si="41">VD16</f>
        <v>0</v>
      </c>
      <c r="GA16" s="247">
        <f t="shared" ref="GA16" si="42">QG16</f>
        <v>0</v>
      </c>
      <c r="GB16" s="246">
        <f t="shared" ref="GB16" si="43">TJ16</f>
        <v>0</v>
      </c>
      <c r="GC16" s="253">
        <f t="shared" ref="GC16" si="44">TP16</f>
        <v>0</v>
      </c>
      <c r="GD16" s="248">
        <f t="shared" ref="GD16" si="45">WJ16</f>
        <v>0</v>
      </c>
      <c r="GE16" s="254"/>
      <c r="GF16" s="232"/>
      <c r="GG16" s="91"/>
      <c r="GH16" s="233">
        <f t="shared" si="2"/>
        <v>0</v>
      </c>
      <c r="GI16" s="233" t="str">
        <f t="shared" si="2"/>
        <v>Intendente</v>
      </c>
      <c r="GJ16" s="255"/>
      <c r="GK16" s="256"/>
      <c r="GL16" s="256"/>
      <c r="GM16" s="256"/>
      <c r="GN16" s="256"/>
      <c r="GO16" s="256"/>
      <c r="GP16" s="256"/>
      <c r="GQ16" s="256"/>
      <c r="GR16" s="257"/>
      <c r="GS16" s="258"/>
      <c r="GT16" s="259">
        <f t="shared" si="3"/>
        <v>0</v>
      </c>
      <c r="GU16" s="260"/>
      <c r="GV16" s="217"/>
      <c r="GW16" s="260"/>
      <c r="GX16" s="217"/>
      <c r="GY16" s="259">
        <f t="shared" si="4"/>
        <v>0</v>
      </c>
      <c r="GZ16" s="260"/>
      <c r="HA16" s="137"/>
      <c r="HB16" s="260"/>
      <c r="HC16" s="137"/>
      <c r="HD16" s="261">
        <f t="shared" si="5"/>
        <v>0</v>
      </c>
      <c r="HE16" s="260"/>
      <c r="HF16" s="137"/>
      <c r="HG16" s="260"/>
      <c r="HH16" s="139"/>
      <c r="HI16" s="262"/>
      <c r="HJ16" s="262"/>
      <c r="HK16" s="262"/>
      <c r="HL16" s="140"/>
      <c r="HM16" s="259">
        <f t="shared" si="10"/>
        <v>0</v>
      </c>
      <c r="HN16" s="263"/>
      <c r="HO16" s="256"/>
      <c r="HP16" s="263"/>
      <c r="HQ16" s="256"/>
      <c r="HR16" s="256"/>
      <c r="HS16" s="240"/>
      <c r="HT16" s="264"/>
      <c r="HU16" s="256"/>
      <c r="HV16" s="263"/>
      <c r="HW16" s="256"/>
      <c r="HX16" s="256"/>
      <c r="HY16" s="256"/>
      <c r="HZ16" s="264"/>
      <c r="IA16" s="256"/>
      <c r="IB16" s="263"/>
      <c r="IC16" s="256"/>
      <c r="ID16" s="256"/>
      <c r="IE16" s="256"/>
      <c r="IF16" s="264"/>
      <c r="IG16" s="256"/>
      <c r="IH16" s="263"/>
      <c r="II16" s="256"/>
      <c r="IJ16" s="256"/>
      <c r="IK16" s="256"/>
      <c r="IL16" s="264"/>
      <c r="IM16" s="256"/>
      <c r="IN16" s="263"/>
      <c r="IO16" s="256"/>
      <c r="IP16" s="256"/>
      <c r="IQ16" s="240"/>
      <c r="IR16" s="264"/>
      <c r="IS16" s="256"/>
      <c r="IT16" s="263"/>
      <c r="IU16" s="256"/>
      <c r="IV16" s="256"/>
      <c r="IW16" s="265"/>
      <c r="IX16" s="264"/>
      <c r="IY16" s="256"/>
      <c r="IZ16" s="263"/>
      <c r="JA16" s="256"/>
      <c r="JB16" s="256"/>
      <c r="JC16" s="240"/>
      <c r="JD16" s="263"/>
      <c r="JE16" s="256"/>
      <c r="JF16" s="263"/>
      <c r="JG16" s="256"/>
      <c r="JH16" s="256"/>
      <c r="JI16" s="265"/>
      <c r="JJ16" s="264"/>
      <c r="JK16" s="256"/>
      <c r="JL16" s="263"/>
      <c r="JM16" s="256"/>
      <c r="JN16" s="256"/>
      <c r="JO16" s="240"/>
      <c r="JP16" s="263"/>
      <c r="JQ16" s="256"/>
      <c r="JR16" s="263"/>
      <c r="JS16" s="256"/>
      <c r="JT16" s="256"/>
      <c r="JU16" s="265"/>
      <c r="JV16" s="264"/>
      <c r="JW16" s="256"/>
      <c r="JX16" s="263"/>
      <c r="JY16" s="256"/>
      <c r="JZ16" s="256"/>
      <c r="KA16" s="240"/>
      <c r="KB16" s="264"/>
      <c r="KC16" s="256"/>
      <c r="KD16" s="263"/>
      <c r="KE16" s="256"/>
      <c r="KF16" s="256"/>
      <c r="KG16" s="265"/>
      <c r="KH16" s="264"/>
      <c r="KI16" s="256"/>
      <c r="KJ16" s="263"/>
      <c r="KK16" s="256"/>
      <c r="KL16" s="256"/>
      <c r="KM16" s="240"/>
      <c r="KN16" s="263"/>
      <c r="KO16" s="256"/>
      <c r="KP16" s="263"/>
      <c r="KQ16" s="256"/>
      <c r="KR16" s="256"/>
      <c r="KS16" s="265"/>
      <c r="KT16" s="264"/>
      <c r="KU16" s="256"/>
      <c r="KV16" s="263"/>
      <c r="KW16" s="256"/>
      <c r="KX16" s="256"/>
      <c r="KY16" s="240"/>
      <c r="KZ16" s="263"/>
      <c r="LA16" s="256"/>
      <c r="LB16" s="263"/>
      <c r="LC16" s="256"/>
      <c r="LD16" s="256"/>
      <c r="LE16" s="265"/>
      <c r="LF16" s="264"/>
      <c r="LG16" s="256"/>
      <c r="LH16" s="263"/>
      <c r="LI16" s="256"/>
      <c r="LJ16" s="256"/>
      <c r="LK16" s="240"/>
      <c r="LL16" s="263"/>
      <c r="LM16" s="256"/>
      <c r="LN16" s="257"/>
      <c r="LO16" s="256"/>
      <c r="LP16" s="257"/>
      <c r="LQ16" s="240"/>
      <c r="LR16" s="257"/>
      <c r="LS16" s="256"/>
      <c r="LT16" s="257"/>
      <c r="LU16" s="256"/>
      <c r="LV16" s="257"/>
      <c r="LW16" s="240"/>
      <c r="LX16" s="257"/>
      <c r="LY16" s="256"/>
      <c r="LZ16" s="257"/>
      <c r="MA16" s="256"/>
      <c r="MB16" s="257"/>
      <c r="MC16" s="240"/>
      <c r="MD16" s="257"/>
      <c r="ME16" s="256"/>
      <c r="MF16" s="257"/>
      <c r="MG16" s="256"/>
      <c r="MH16" s="257"/>
      <c r="MI16" s="240"/>
      <c r="MJ16" s="257"/>
      <c r="MK16" s="256"/>
      <c r="ML16" s="257"/>
      <c r="MM16" s="256"/>
      <c r="MN16" s="257"/>
      <c r="MO16" s="240"/>
      <c r="MP16" s="257"/>
      <c r="MQ16" s="256"/>
      <c r="MR16" s="257"/>
      <c r="MS16" s="256"/>
      <c r="MT16" s="257"/>
      <c r="MU16" s="240"/>
      <c r="MV16" s="257"/>
      <c r="MW16" s="256"/>
      <c r="MX16" s="257"/>
      <c r="MY16" s="256"/>
      <c r="MZ16" s="257"/>
      <c r="NA16" s="240"/>
      <c r="NB16" s="257"/>
      <c r="NC16" s="256"/>
      <c r="ND16" s="257"/>
      <c r="NE16" s="256"/>
      <c r="NF16" s="257"/>
      <c r="NG16" s="240"/>
      <c r="NH16" s="257"/>
      <c r="NI16" s="256"/>
      <c r="NJ16" s="257"/>
      <c r="NK16" s="256"/>
      <c r="NL16" s="257"/>
      <c r="NM16" s="240"/>
      <c r="NN16" s="257"/>
      <c r="NO16" s="256"/>
      <c r="NP16" s="257"/>
      <c r="NQ16" s="256"/>
      <c r="NR16" s="257"/>
      <c r="NS16" s="240"/>
      <c r="NT16" s="257"/>
      <c r="NU16" s="256"/>
      <c r="NV16" s="257"/>
      <c r="NW16" s="256"/>
      <c r="NX16" s="257"/>
      <c r="NY16" s="240"/>
      <c r="NZ16" s="257"/>
      <c r="OA16" s="256"/>
      <c r="OB16" s="257"/>
      <c r="OC16" s="256"/>
      <c r="OD16" s="257"/>
      <c r="OE16" s="240"/>
      <c r="OF16" s="257"/>
      <c r="OG16" s="256"/>
      <c r="OH16" s="257"/>
      <c r="OI16" s="256"/>
      <c r="OJ16" s="257"/>
      <c r="OK16" s="240"/>
      <c r="OL16" s="257"/>
      <c r="OM16" s="256"/>
      <c r="ON16" s="257"/>
      <c r="OO16" s="256"/>
      <c r="OP16" s="257"/>
      <c r="OQ16" s="240"/>
      <c r="OR16" s="257"/>
      <c r="OS16" s="256"/>
      <c r="OT16" s="257"/>
      <c r="OU16" s="256"/>
      <c r="OV16" s="257"/>
      <c r="OW16" s="240"/>
      <c r="OX16" s="257"/>
      <c r="OY16" s="256"/>
      <c r="OZ16" s="257"/>
      <c r="PA16" s="256"/>
      <c r="PB16" s="257"/>
      <c r="PC16" s="240"/>
      <c r="PD16" s="257"/>
      <c r="PE16" s="256"/>
      <c r="PF16" s="257"/>
      <c r="PG16" s="256"/>
      <c r="PH16" s="257"/>
      <c r="PI16" s="240"/>
      <c r="PJ16" s="225"/>
      <c r="PK16" s="266"/>
      <c r="PL16" s="257"/>
      <c r="PM16" s="266"/>
      <c r="PN16" s="257"/>
      <c r="PO16" s="267"/>
      <c r="PP16" s="225"/>
      <c r="PQ16" s="147"/>
      <c r="PR16" s="257"/>
      <c r="PS16" s="268"/>
      <c r="PT16" s="257"/>
      <c r="PU16" s="269"/>
      <c r="PV16" s="257"/>
      <c r="PW16" s="270"/>
      <c r="PX16" s="257"/>
      <c r="PY16" s="270"/>
      <c r="PZ16" s="257"/>
      <c r="QA16" s="270"/>
      <c r="QB16" s="271"/>
      <c r="QC16" s="267"/>
      <c r="QD16" s="272"/>
      <c r="QE16" s="269"/>
      <c r="QF16" s="272"/>
      <c r="QG16" s="273"/>
      <c r="QH16" s="274"/>
      <c r="QI16" s="262"/>
      <c r="QJ16" s="275"/>
      <c r="QK16" s="276"/>
      <c r="QL16" s="277"/>
      <c r="QM16" s="278"/>
      <c r="QN16" s="277"/>
      <c r="QO16" s="278"/>
      <c r="QP16" s="277"/>
      <c r="QQ16" s="278"/>
      <c r="QR16" s="274"/>
      <c r="QS16" s="279"/>
      <c r="QT16" s="280"/>
      <c r="QU16" s="280"/>
      <c r="QV16" s="281"/>
      <c r="QW16" s="281"/>
      <c r="QX16" s="282"/>
      <c r="QY16" s="278"/>
      <c r="QZ16" s="277"/>
      <c r="RA16" s="283"/>
      <c r="RB16" s="277"/>
      <c r="RC16" s="283"/>
      <c r="RD16" s="277"/>
      <c r="RE16" s="283"/>
      <c r="RF16" s="274"/>
      <c r="RG16" s="279"/>
      <c r="RH16" s="280"/>
      <c r="RI16" s="280"/>
      <c r="RJ16" s="280"/>
      <c r="RK16" s="280"/>
      <c r="RL16" s="280"/>
      <c r="RM16" s="281"/>
      <c r="RN16" s="281"/>
      <c r="RO16" s="282"/>
      <c r="RP16" s="283"/>
      <c r="RQ16" s="274"/>
      <c r="RR16" s="282"/>
      <c r="RS16" s="284"/>
      <c r="RT16" s="277"/>
      <c r="RU16" s="275"/>
      <c r="RV16" s="284"/>
      <c r="RW16" s="277"/>
      <c r="RX16" s="284"/>
      <c r="RY16" s="274"/>
      <c r="RZ16" s="279"/>
      <c r="SA16" s="280"/>
      <c r="SB16" s="280"/>
      <c r="SC16" s="280"/>
      <c r="SD16" s="280"/>
      <c r="SE16" s="280"/>
      <c r="SF16" s="280"/>
      <c r="SG16" s="280"/>
      <c r="SH16" s="281"/>
      <c r="SI16" s="281"/>
      <c r="SJ16" s="282"/>
      <c r="SK16" s="284"/>
      <c r="SL16" s="274"/>
      <c r="SM16" s="282"/>
      <c r="SN16" s="285"/>
      <c r="SO16" s="274"/>
      <c r="SP16" s="286"/>
      <c r="SQ16" s="275"/>
      <c r="SR16" s="285"/>
      <c r="SS16" s="277"/>
      <c r="ST16" s="285"/>
      <c r="SU16" s="274"/>
      <c r="SV16" s="279"/>
      <c r="SW16" s="280"/>
      <c r="SX16" s="280"/>
      <c r="SY16" s="280"/>
      <c r="SZ16" s="280"/>
      <c r="TA16" s="280"/>
      <c r="TB16" s="280"/>
      <c r="TC16" s="280"/>
      <c r="TD16" s="280"/>
      <c r="TE16" s="280"/>
      <c r="TF16" s="280"/>
      <c r="TG16" s="281"/>
      <c r="TH16" s="281"/>
      <c r="TI16" s="282"/>
      <c r="TJ16" s="285"/>
      <c r="TK16" s="271"/>
      <c r="TL16" s="267"/>
      <c r="TM16" s="272"/>
      <c r="TN16" s="269"/>
      <c r="TO16" s="272"/>
      <c r="TP16" s="273"/>
      <c r="TQ16" s="287"/>
      <c r="TR16" s="288"/>
      <c r="TS16" s="289"/>
      <c r="TT16" s="288"/>
      <c r="TU16" s="287"/>
      <c r="TV16" s="288"/>
      <c r="TW16" s="257"/>
      <c r="TX16" s="288"/>
      <c r="TY16" s="257"/>
      <c r="TZ16" s="290"/>
      <c r="UA16" s="225"/>
      <c r="UB16" s="291"/>
      <c r="UC16" s="265"/>
      <c r="UD16" s="291"/>
      <c r="UE16" s="265"/>
      <c r="UF16" s="291"/>
      <c r="UG16" s="265"/>
      <c r="UH16" s="291"/>
      <c r="UI16" s="257"/>
      <c r="UJ16" s="292"/>
      <c r="UK16" s="287"/>
      <c r="UL16" s="293"/>
      <c r="UM16" s="287"/>
      <c r="UN16" s="293"/>
      <c r="UO16" s="287"/>
      <c r="UP16" s="293"/>
      <c r="UQ16" s="257"/>
      <c r="UR16" s="293"/>
      <c r="US16" s="257"/>
      <c r="UT16" s="294"/>
      <c r="UU16" s="295"/>
      <c r="UV16" s="296"/>
      <c r="UW16" s="265"/>
      <c r="UX16" s="296"/>
      <c r="UY16" s="287"/>
      <c r="UZ16" s="296"/>
      <c r="VA16" s="257"/>
      <c r="VB16" s="296"/>
      <c r="VC16" s="257"/>
      <c r="VD16" s="297"/>
      <c r="VE16" s="264"/>
      <c r="VF16" s="257"/>
      <c r="VG16" s="298"/>
      <c r="VH16" s="256"/>
      <c r="VI16" s="265"/>
      <c r="VJ16" s="299"/>
      <c r="VK16" s="256"/>
      <c r="VL16" s="257"/>
      <c r="VM16" s="298"/>
      <c r="VN16" s="265"/>
      <c r="VO16" s="265"/>
      <c r="VP16" s="298"/>
      <c r="VQ16" s="265"/>
      <c r="VR16" s="265"/>
      <c r="VS16" s="298"/>
      <c r="VT16" s="265"/>
      <c r="VU16" s="265"/>
      <c r="VV16" s="300"/>
      <c r="VW16" s="265"/>
      <c r="VX16" s="265"/>
      <c r="VY16" s="299"/>
      <c r="VZ16" s="257"/>
      <c r="WA16" s="265"/>
      <c r="WB16" s="298"/>
      <c r="WC16" s="301">
        <f t="shared" si="6"/>
        <v>0</v>
      </c>
      <c r="WD16" s="302"/>
      <c r="WE16" s="271"/>
      <c r="WF16" s="267"/>
      <c r="WG16" s="272"/>
      <c r="WH16" s="269"/>
      <c r="WI16" s="272"/>
      <c r="WJ16" s="273"/>
      <c r="WK16" s="303"/>
      <c r="WL16" s="180"/>
      <c r="WM16" s="262"/>
      <c r="WN16" s="262"/>
      <c r="WO16" s="262"/>
      <c r="WP16" s="180"/>
      <c r="WQ16" s="234">
        <f t="shared" si="7"/>
        <v>0</v>
      </c>
      <c r="WR16" s="88"/>
      <c r="WS16" s="109"/>
    </row>
    <row r="17" spans="1:617" s="2" customFormat="1" ht="25.2" x14ac:dyDescent="0.3">
      <c r="A17" s="304"/>
      <c r="B17" s="308"/>
      <c r="CZ17" s="305"/>
      <c r="DA17" s="305"/>
      <c r="DB17" s="306"/>
      <c r="DC17" s="306"/>
      <c r="DD17" s="306"/>
      <c r="DE17" s="306"/>
      <c r="DF17" s="306"/>
      <c r="DG17" s="306"/>
      <c r="DH17" s="109"/>
      <c r="DI17" s="109"/>
      <c r="DJ17" s="109"/>
      <c r="DK17" s="109"/>
      <c r="DL17" s="109"/>
      <c r="DM17" s="109"/>
      <c r="DN17" s="109"/>
      <c r="DO17" s="109"/>
      <c r="DP17" s="109"/>
      <c r="DQ17" s="109"/>
      <c r="DR17" s="306"/>
      <c r="DS17" s="306"/>
      <c r="DT17" s="306"/>
      <c r="DU17" s="306"/>
      <c r="DV17" s="306"/>
      <c r="DW17" s="306"/>
      <c r="DX17" s="306"/>
      <c r="DY17" s="306"/>
      <c r="DZ17" s="306"/>
      <c r="EA17" s="306"/>
      <c r="EB17" s="306"/>
      <c r="EC17" s="306"/>
      <c r="ED17" s="306"/>
      <c r="EE17" s="306"/>
      <c r="EF17" s="306"/>
      <c r="EG17" s="306"/>
      <c r="EH17" s="306"/>
      <c r="EI17" s="306"/>
      <c r="EJ17" s="109"/>
      <c r="EK17" s="109"/>
      <c r="EL17" s="109"/>
      <c r="EM17" s="109"/>
      <c r="EN17" s="109"/>
      <c r="EO17" s="109"/>
      <c r="EP17" s="109"/>
      <c r="EQ17" s="109"/>
      <c r="ER17" s="109"/>
      <c r="ES17" s="109"/>
      <c r="ET17" s="109"/>
      <c r="EU17" s="109"/>
      <c r="EV17" s="109"/>
      <c r="EW17" s="109"/>
      <c r="EX17" s="109"/>
      <c r="EY17" s="306"/>
      <c r="EZ17" s="306"/>
      <c r="FA17" s="306"/>
      <c r="FB17" s="306"/>
      <c r="FC17" s="306"/>
      <c r="FD17" s="306"/>
      <c r="FE17" s="306"/>
      <c r="FF17" s="306"/>
      <c r="FG17" s="306"/>
      <c r="FH17" s="306"/>
      <c r="FI17" s="306"/>
      <c r="FJ17" s="306"/>
      <c r="FK17" s="306"/>
      <c r="FL17" s="306"/>
      <c r="FM17" s="306"/>
      <c r="FN17" s="306"/>
      <c r="FO17" s="306"/>
      <c r="FP17" s="306"/>
      <c r="FQ17" s="306"/>
      <c r="FR17" s="306"/>
      <c r="FS17" s="306"/>
      <c r="FT17" s="306"/>
      <c r="FU17" s="306"/>
      <c r="FV17" s="306"/>
      <c r="FW17" s="306"/>
      <c r="FX17" s="306"/>
      <c r="FY17" s="306"/>
      <c r="FZ17" s="306"/>
      <c r="GA17" s="306"/>
      <c r="GB17" s="306"/>
      <c r="GC17" s="306"/>
      <c r="GD17" s="306"/>
      <c r="GE17" s="306"/>
      <c r="GF17" s="306"/>
      <c r="GG17" s="7"/>
      <c r="GH17" s="304"/>
      <c r="GI17" s="304"/>
      <c r="GJ17" s="304"/>
      <c r="GK17" s="304"/>
      <c r="GL17" s="304"/>
      <c r="GM17" s="304"/>
      <c r="GN17" s="304"/>
      <c r="GO17" s="304"/>
      <c r="GP17" s="304"/>
      <c r="GQ17" s="304"/>
      <c r="GR17" s="304"/>
      <c r="GS17" s="307"/>
      <c r="GT17" s="308"/>
      <c r="GU17" s="308"/>
      <c r="GV17" s="309"/>
      <c r="GW17" s="308"/>
      <c r="GX17" s="309"/>
      <c r="GY17" s="308"/>
      <c r="GZ17" s="308"/>
      <c r="HA17" s="310"/>
      <c r="HB17" s="308"/>
      <c r="HC17" s="310"/>
      <c r="HD17" s="308"/>
      <c r="HE17" s="308"/>
      <c r="HF17" s="310"/>
      <c r="HG17" s="308"/>
      <c r="HH17" s="310"/>
      <c r="HI17" s="304"/>
      <c r="HJ17" s="304"/>
      <c r="HK17" s="304"/>
      <c r="HL17" s="310"/>
      <c r="HM17" s="308"/>
      <c r="HN17" s="1"/>
      <c r="HO17" s="1"/>
      <c r="HP17" s="1"/>
      <c r="HQ17" s="1"/>
      <c r="HR17" s="1"/>
      <c r="HS17" s="1"/>
      <c r="HT17" s="1"/>
      <c r="HU17" s="1"/>
      <c r="HV17" s="1"/>
      <c r="HW17" s="1"/>
      <c r="HX17" s="1"/>
      <c r="HY17" s="1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31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304"/>
      <c r="WL17" s="310"/>
      <c r="WM17" s="304"/>
      <c r="WN17" s="304"/>
      <c r="WO17" s="304"/>
      <c r="WP17" s="310"/>
      <c r="WQ17" s="304"/>
      <c r="WR17" s="88"/>
      <c r="WS17" s="109"/>
    </row>
    <row r="18" spans="1:617" s="2" customFormat="1" ht="30.6" x14ac:dyDescent="0.3">
      <c r="A18" s="1"/>
      <c r="B18" s="312"/>
      <c r="C18" s="405" t="s">
        <v>355</v>
      </c>
      <c r="D18" s="405"/>
      <c r="E18" s="1"/>
      <c r="F18" s="1"/>
      <c r="G18" s="313" t="s">
        <v>343</v>
      </c>
      <c r="H18" s="314"/>
      <c r="CZ18" s="305"/>
      <c r="DA18" s="305"/>
      <c r="DD18" s="315"/>
      <c r="DE18" s="315"/>
      <c r="DF18" s="315"/>
      <c r="DG18" s="315"/>
      <c r="FG18" s="316"/>
      <c r="FH18" s="316"/>
      <c r="FV18" s="316"/>
      <c r="FW18" s="316"/>
      <c r="GG18" s="5"/>
      <c r="GH18" s="1"/>
      <c r="GI18" s="1"/>
      <c r="GJ18" s="1"/>
      <c r="GK18" s="1"/>
      <c r="GL18" s="1"/>
      <c r="GM18" s="1"/>
      <c r="GN18" s="1"/>
      <c r="GO18" s="1"/>
      <c r="GP18" s="1"/>
      <c r="GQ18" s="1"/>
      <c r="GR18" s="1"/>
      <c r="GT18" s="1"/>
      <c r="GU18" s="1"/>
      <c r="GV18" s="309"/>
      <c r="GW18" s="1"/>
      <c r="GX18" s="309"/>
      <c r="GY18" s="1"/>
      <c r="GZ18" s="1"/>
      <c r="HA18" s="309"/>
      <c r="HB18" s="1"/>
      <c r="HC18" s="309"/>
      <c r="HD18" s="1"/>
      <c r="HE18" s="1"/>
      <c r="HF18" s="309"/>
      <c r="HG18" s="1"/>
      <c r="HH18" s="309"/>
      <c r="HI18" s="1"/>
      <c r="HJ18" s="1"/>
      <c r="HK18" s="1"/>
      <c r="HL18" s="309"/>
      <c r="HM18" s="1"/>
      <c r="HN18" s="1"/>
      <c r="HO18" s="1"/>
      <c r="HP18" s="1"/>
      <c r="HQ18" s="1"/>
      <c r="HR18" s="1"/>
      <c r="HS18" s="1"/>
      <c r="HT18" s="1"/>
      <c r="HU18" s="1"/>
      <c r="HV18" s="1"/>
      <c r="HW18" s="1"/>
      <c r="HX18" s="1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309"/>
      <c r="WM18" s="1"/>
      <c r="WN18" s="1"/>
      <c r="WO18" s="1"/>
      <c r="WP18" s="309"/>
      <c r="WQ18" s="1"/>
      <c r="WR18" s="88"/>
      <c r="WS18" s="109"/>
    </row>
    <row r="19" spans="1:617" s="2" customFormat="1" ht="31.2" thickBot="1" x14ac:dyDescent="0.35">
      <c r="A19" s="1"/>
      <c r="B19" s="317"/>
      <c r="C19" s="405" t="s">
        <v>353</v>
      </c>
      <c r="D19" s="405"/>
      <c r="E19" s="1"/>
      <c r="F19" s="1"/>
      <c r="G19" s="313" t="s">
        <v>344</v>
      </c>
      <c r="H19" s="314"/>
      <c r="CZ19" s="305"/>
      <c r="DA19" s="305"/>
      <c r="DD19" s="315"/>
      <c r="DE19" s="315"/>
      <c r="DF19" s="315"/>
      <c r="DG19" s="315"/>
      <c r="FG19" s="316"/>
      <c r="FH19" s="316"/>
      <c r="FV19" s="316"/>
      <c r="FW19" s="316"/>
      <c r="GG19" s="5"/>
      <c r="GH19" s="1"/>
      <c r="GI19" s="1"/>
      <c r="GJ19" s="1"/>
      <c r="GK19" s="1"/>
      <c r="GL19" s="1"/>
      <c r="GM19" s="1"/>
      <c r="GN19" s="1"/>
      <c r="GO19" s="1"/>
      <c r="GP19" s="1"/>
      <c r="GQ19" s="1"/>
      <c r="GR19" s="1"/>
      <c r="GT19" s="1"/>
      <c r="GU19" s="1"/>
      <c r="GV19" s="309"/>
      <c r="GW19" s="1"/>
      <c r="GX19" s="309"/>
      <c r="GY19" s="1"/>
      <c r="GZ19" s="1"/>
      <c r="HA19" s="309"/>
      <c r="HB19" s="1"/>
      <c r="HC19" s="309"/>
      <c r="HD19" s="1"/>
      <c r="HE19" s="1"/>
      <c r="HF19" s="309"/>
      <c r="HG19" s="1"/>
      <c r="HH19" s="309"/>
      <c r="HI19" s="1"/>
      <c r="HJ19" s="1"/>
      <c r="HK19" s="1"/>
      <c r="HL19" s="309"/>
      <c r="HM19" s="1"/>
      <c r="HN19" s="1"/>
      <c r="HO19" s="1"/>
      <c r="HP19" s="1"/>
      <c r="HQ19" s="1"/>
      <c r="HR19" s="1"/>
      <c r="HS19" s="1"/>
      <c r="HT19" s="1"/>
      <c r="HU19" s="1"/>
      <c r="HV19" s="1"/>
      <c r="HW19" s="1"/>
      <c r="HX19" s="1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309"/>
      <c r="WM19" s="1"/>
      <c r="WN19" s="1"/>
      <c r="WO19" s="1"/>
      <c r="WP19" s="309"/>
      <c r="WQ19" s="1"/>
      <c r="WR19" s="232"/>
    </row>
    <row r="20" spans="1:617" ht="30.6" x14ac:dyDescent="0.3">
      <c r="B20" s="318"/>
      <c r="C20" s="405" t="s">
        <v>356</v>
      </c>
      <c r="D20" s="405"/>
      <c r="G20" s="313" t="s">
        <v>344</v>
      </c>
      <c r="H20" s="31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305"/>
      <c r="DA20" s="305"/>
      <c r="DB20" s="2"/>
      <c r="DC20" s="2"/>
      <c r="DD20" s="315"/>
      <c r="DE20" s="315"/>
      <c r="DF20" s="315"/>
      <c r="DG20" s="315"/>
      <c r="DH20" s="2"/>
      <c r="DI20" s="2"/>
      <c r="DJ20" s="2"/>
      <c r="DK20" s="2"/>
      <c r="DL20" s="2"/>
      <c r="DM20" s="2"/>
      <c r="DN20" s="2"/>
      <c r="DO20" s="2"/>
      <c r="DP20" s="2"/>
      <c r="DQ20" s="2"/>
      <c r="DR20" s="2"/>
      <c r="DS20" s="2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316"/>
      <c r="FH20" s="316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2"/>
      <c r="FT20" s="2"/>
      <c r="FU20" s="2"/>
      <c r="FV20" s="316"/>
      <c r="FW20" s="316"/>
      <c r="FX20" s="2"/>
      <c r="FY20" s="2"/>
      <c r="FZ20" s="2"/>
      <c r="GA20" s="2"/>
      <c r="GB20" s="2"/>
      <c r="GC20" s="2"/>
      <c r="GD20" s="2"/>
      <c r="GE20" s="2"/>
      <c r="GF20" s="2"/>
      <c r="GG20" s="5"/>
      <c r="GS20" s="2"/>
      <c r="GV20" s="309"/>
      <c r="GX20" s="309"/>
      <c r="HA20" s="309"/>
      <c r="HC20" s="309"/>
      <c r="HF20" s="309"/>
      <c r="HH20" s="309"/>
      <c r="HL20" s="309"/>
      <c r="WL20" s="309"/>
      <c r="WP20" s="309"/>
    </row>
    <row r="21" spans="1:617" ht="30.6" x14ac:dyDescent="0.3">
      <c r="B21" s="319"/>
      <c r="C21" s="405" t="s">
        <v>357</v>
      </c>
      <c r="D21" s="405"/>
      <c r="G21" s="313" t="s">
        <v>344</v>
      </c>
      <c r="H21" s="31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305"/>
      <c r="DA21" s="305"/>
      <c r="DB21" s="2"/>
      <c r="DC21" s="2"/>
      <c r="DD21" s="315"/>
      <c r="DE21" s="315"/>
      <c r="DF21" s="315"/>
      <c r="DG21" s="315"/>
      <c r="DH21" s="2"/>
      <c r="DI21" s="2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316"/>
      <c r="FH21" s="316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2"/>
      <c r="FT21" s="2"/>
      <c r="FU21" s="2"/>
      <c r="FV21" s="316"/>
      <c r="FW21" s="316"/>
      <c r="FX21" s="2"/>
      <c r="FY21" s="2"/>
      <c r="FZ21" s="2"/>
      <c r="GA21" s="2"/>
      <c r="GB21" s="2"/>
      <c r="GC21" s="2"/>
      <c r="GD21" s="2"/>
      <c r="GE21" s="2"/>
      <c r="GF21" s="2"/>
      <c r="GG21" s="5"/>
      <c r="GS21" s="2"/>
      <c r="GV21" s="309"/>
      <c r="GX21" s="309"/>
      <c r="HA21" s="309"/>
      <c r="HC21" s="309"/>
      <c r="HF21" s="309"/>
      <c r="HH21" s="309"/>
      <c r="HL21" s="309"/>
      <c r="WL21" s="309"/>
      <c r="WP21" s="309"/>
    </row>
    <row r="22" spans="1:617" ht="30.6" x14ac:dyDescent="0.3">
      <c r="B22" s="320"/>
      <c r="C22" s="405" t="s">
        <v>354</v>
      </c>
      <c r="D22" s="405"/>
      <c r="E22" s="313"/>
      <c r="F22" s="313"/>
      <c r="G22" s="313" t="s">
        <v>345</v>
      </c>
      <c r="H22" s="31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305"/>
      <c r="DA22" s="305"/>
      <c r="DB22" s="315"/>
      <c r="DC22" s="315"/>
      <c r="DD22" s="2"/>
      <c r="DE22" s="2"/>
      <c r="DF22" s="2"/>
      <c r="DG22" s="2"/>
      <c r="DH22" s="2"/>
      <c r="DI22" s="2"/>
      <c r="DJ22" s="2"/>
      <c r="DK22" s="2"/>
      <c r="DL22" s="2"/>
      <c r="DM22" s="2"/>
      <c r="DN22" s="2"/>
      <c r="DO22" s="2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316"/>
      <c r="FH22" s="316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2"/>
      <c r="FT22" s="2"/>
      <c r="FU22" s="2"/>
      <c r="FV22" s="316"/>
      <c r="FW22" s="316"/>
      <c r="FX22" s="2"/>
      <c r="FY22" s="2"/>
      <c r="FZ22" s="2"/>
      <c r="GA22" s="2"/>
      <c r="GB22" s="2"/>
      <c r="GC22" s="2"/>
      <c r="GD22" s="2"/>
      <c r="GE22" s="2"/>
      <c r="GF22" s="2"/>
      <c r="GG22" s="5"/>
      <c r="GS22" s="2"/>
      <c r="GV22" s="309"/>
      <c r="GX22" s="309"/>
      <c r="HA22" s="309"/>
      <c r="HC22" s="309"/>
      <c r="HF22" s="309"/>
      <c r="HH22" s="309"/>
      <c r="HL22" s="309"/>
      <c r="WL22" s="309"/>
      <c r="WP22" s="309"/>
    </row>
    <row r="23" spans="1:617" ht="25.2" x14ac:dyDescent="0.3">
      <c r="A23" s="3"/>
      <c r="B23" s="3"/>
      <c r="C23" s="313"/>
      <c r="D23" s="313"/>
      <c r="E23" s="313"/>
      <c r="F23" s="313"/>
      <c r="G23" s="314"/>
      <c r="H23" s="31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305"/>
      <c r="DA23" s="305"/>
      <c r="DB23" s="5"/>
      <c r="DV23" s="1"/>
      <c r="DW23" s="1"/>
      <c r="DX23" s="1"/>
      <c r="DY23" s="1"/>
      <c r="DZ23" s="1"/>
      <c r="EA23" s="1"/>
      <c r="EB23" s="1"/>
      <c r="EC23" s="1"/>
      <c r="ED23" s="1"/>
      <c r="EE23" s="1"/>
      <c r="EF23" s="1"/>
      <c r="EG23" s="1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M23" s="3"/>
      <c r="FN23" s="3"/>
      <c r="FO23" s="3"/>
      <c r="FP23" s="3"/>
      <c r="FQ23" s="1"/>
      <c r="GB23" s="3"/>
      <c r="GC23" s="3"/>
      <c r="GD23" s="3"/>
      <c r="GE23" s="3"/>
      <c r="GF23" s="3"/>
      <c r="GG23" s="3"/>
      <c r="GH23" s="3"/>
      <c r="GI23" s="3"/>
      <c r="GJ23" s="3"/>
      <c r="GK23" s="3"/>
      <c r="GL23" s="3"/>
      <c r="GM23" s="3"/>
      <c r="GN23" s="3"/>
      <c r="GO23" s="3"/>
      <c r="GP23" s="3"/>
      <c r="GQ23" s="3"/>
      <c r="GR23" s="3"/>
      <c r="GS23" s="3"/>
      <c r="GT23" s="3"/>
      <c r="GU23" s="3"/>
      <c r="GV23" s="309"/>
      <c r="GW23" s="3"/>
      <c r="GX23" s="309"/>
      <c r="GY23" s="3"/>
      <c r="GZ23" s="3"/>
      <c r="HA23" s="309"/>
      <c r="HB23" s="3"/>
      <c r="HC23" s="309"/>
      <c r="HD23" s="3"/>
      <c r="HE23" s="3"/>
      <c r="HF23" s="309"/>
      <c r="HG23" s="3"/>
      <c r="HH23" s="309"/>
      <c r="HI23" s="3"/>
      <c r="HJ23" s="3"/>
      <c r="HK23" s="3"/>
      <c r="HL23" s="309"/>
      <c r="HM23" s="3"/>
      <c r="HN23" s="3"/>
      <c r="HO23" s="3"/>
      <c r="HP23" s="3"/>
      <c r="HQ23" s="3"/>
      <c r="HR23" s="3"/>
      <c r="HS23" s="3"/>
      <c r="HT23" s="3"/>
      <c r="HU23" s="3"/>
      <c r="HV23" s="3"/>
      <c r="HW23" s="3"/>
      <c r="HX23" s="3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WK23" s="3"/>
      <c r="WL23" s="309"/>
      <c r="WM23" s="3"/>
      <c r="WN23" s="3"/>
      <c r="WO23" s="3"/>
      <c r="WP23" s="309"/>
      <c r="WQ23" s="3"/>
    </row>
    <row r="24" spans="1:617" ht="25.2" x14ac:dyDescent="0.3">
      <c r="A24" s="3"/>
      <c r="B24" s="3"/>
      <c r="G24" s="314"/>
      <c r="H24" s="31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305"/>
      <c r="DA24" s="305"/>
      <c r="DB24" s="5"/>
      <c r="DV24" s="1"/>
      <c r="DW24" s="1"/>
      <c r="DX24" s="1"/>
      <c r="DY24" s="1"/>
      <c r="DZ24" s="1"/>
      <c r="EA24" s="1"/>
      <c r="EB24" s="1"/>
      <c r="EC24" s="1"/>
      <c r="ED24" s="1"/>
      <c r="EE24" s="1"/>
      <c r="EF24" s="1"/>
      <c r="EG24" s="1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M24" s="3"/>
      <c r="FN24" s="3"/>
      <c r="FO24" s="3"/>
      <c r="FP24" s="3"/>
      <c r="FQ24" s="1"/>
      <c r="GB24" s="3"/>
      <c r="GC24" s="3"/>
      <c r="GD24" s="3"/>
      <c r="GE24" s="3"/>
      <c r="GF24" s="3"/>
      <c r="GG24" s="3"/>
      <c r="GH24" s="3"/>
      <c r="GI24" s="3"/>
      <c r="GJ24" s="3"/>
      <c r="GK24" s="3"/>
      <c r="GL24" s="3"/>
      <c r="GM24" s="3"/>
      <c r="GN24" s="3"/>
      <c r="GO24" s="3"/>
      <c r="GP24" s="3"/>
      <c r="GQ24" s="3"/>
      <c r="GR24" s="3"/>
      <c r="GS24" s="3"/>
      <c r="GT24" s="3"/>
      <c r="GU24" s="3"/>
      <c r="GV24" s="309"/>
      <c r="GW24" s="3"/>
      <c r="GX24" s="309"/>
      <c r="GY24" s="3"/>
      <c r="GZ24" s="3"/>
      <c r="HA24" s="309"/>
      <c r="HB24" s="3"/>
      <c r="HC24" s="309"/>
      <c r="HD24" s="3"/>
      <c r="HE24" s="3"/>
      <c r="HF24" s="309"/>
      <c r="HG24" s="3"/>
      <c r="HH24" s="309"/>
      <c r="HI24" s="3"/>
      <c r="HJ24" s="3"/>
      <c r="HK24" s="3"/>
      <c r="HL24" s="309"/>
      <c r="HM24" s="3"/>
      <c r="HN24" s="3"/>
      <c r="HO24" s="3"/>
      <c r="HP24" s="3"/>
      <c r="HQ24" s="3"/>
      <c r="HR24" s="3"/>
      <c r="HS24" s="3"/>
      <c r="HT24" s="3"/>
      <c r="HU24" s="3"/>
      <c r="HV24" s="3"/>
      <c r="HW24" s="3"/>
      <c r="HX24" s="3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WK24" s="3"/>
      <c r="WL24" s="309"/>
      <c r="WM24" s="3"/>
      <c r="WN24" s="3"/>
      <c r="WO24" s="3"/>
      <c r="WP24" s="309"/>
      <c r="WQ24" s="3"/>
    </row>
    <row r="25" spans="1:617" ht="25.2" x14ac:dyDescent="0.3">
      <c r="A25" s="3"/>
      <c r="B25" s="362" t="s">
        <v>348</v>
      </c>
      <c r="C25" s="361" t="s">
        <v>350</v>
      </c>
      <c r="D25" s="36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305"/>
      <c r="DA25" s="305"/>
      <c r="DB25" s="5"/>
      <c r="DV25" s="1"/>
      <c r="DW25" s="1"/>
      <c r="DX25" s="1"/>
      <c r="DY25" s="1"/>
      <c r="DZ25" s="1"/>
      <c r="EA25" s="1"/>
      <c r="EB25" s="1"/>
      <c r="EC25" s="1"/>
      <c r="ED25" s="1"/>
      <c r="EE25" s="1"/>
      <c r="EF25" s="1"/>
      <c r="EG25" s="1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M25" s="3"/>
      <c r="FN25" s="3"/>
      <c r="FO25" s="3"/>
      <c r="FP25" s="3"/>
      <c r="FQ25" s="1"/>
      <c r="GB25" s="3"/>
      <c r="GC25" s="3"/>
      <c r="GD25" s="3"/>
      <c r="GE25" s="3"/>
      <c r="GF25" s="3"/>
      <c r="GG25" s="3"/>
      <c r="GH25" s="3"/>
      <c r="GI25" s="3"/>
      <c r="GJ25" s="3"/>
      <c r="GK25" s="3"/>
      <c r="GL25" s="3"/>
      <c r="GM25" s="3"/>
      <c r="GN25" s="3"/>
      <c r="GO25" s="3"/>
      <c r="GP25" s="3"/>
      <c r="GQ25" s="3"/>
      <c r="GR25" s="3"/>
      <c r="GS25" s="3"/>
      <c r="GT25" s="3"/>
      <c r="GU25" s="3"/>
      <c r="GV25" s="309"/>
      <c r="GW25" s="3"/>
      <c r="GX25" s="309"/>
      <c r="GY25" s="3"/>
      <c r="GZ25" s="3"/>
      <c r="HA25" s="309"/>
      <c r="HB25" s="3"/>
      <c r="HC25" s="309"/>
      <c r="HD25" s="3"/>
      <c r="HE25" s="3"/>
      <c r="HF25" s="309"/>
      <c r="HG25" s="3"/>
      <c r="HH25" s="309"/>
      <c r="HI25" s="3"/>
      <c r="HJ25" s="3"/>
      <c r="HK25" s="3"/>
      <c r="HL25" s="309"/>
      <c r="HM25" s="3"/>
      <c r="HN25" s="3"/>
      <c r="HO25" s="3"/>
      <c r="HP25" s="3"/>
      <c r="HQ25" s="3"/>
      <c r="HR25" s="3"/>
      <c r="HS25" s="3"/>
      <c r="HT25" s="3"/>
      <c r="HU25" s="3"/>
      <c r="HV25" s="3"/>
      <c r="HW25" s="3"/>
      <c r="HX25" s="3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WK25" s="3"/>
      <c r="WL25" s="309"/>
      <c r="WM25" s="3"/>
      <c r="WN25" s="3"/>
      <c r="WO25" s="3"/>
      <c r="WP25" s="309"/>
      <c r="WQ25" s="3"/>
    </row>
    <row r="26" spans="1:617" ht="21" x14ac:dyDescent="0.3">
      <c r="B26" s="363" t="s">
        <v>349</v>
      </c>
      <c r="C26" s="361" t="s">
        <v>351</v>
      </c>
      <c r="D26" s="361"/>
      <c r="GV26" s="309"/>
      <c r="GX26" s="309"/>
      <c r="HA26" s="309"/>
      <c r="HC26" s="309"/>
      <c r="HF26" s="309"/>
      <c r="HH26" s="309"/>
      <c r="HL26" s="309"/>
      <c r="WL26" s="309"/>
      <c r="WP26" s="309"/>
    </row>
    <row r="27" spans="1:617" x14ac:dyDescent="0.3">
      <c r="GV27" s="309"/>
      <c r="GX27" s="309"/>
      <c r="HA27" s="309"/>
      <c r="HC27" s="309"/>
      <c r="HF27" s="309"/>
      <c r="HH27" s="309"/>
      <c r="HL27" s="309"/>
      <c r="WL27" s="309"/>
      <c r="WP27" s="309"/>
    </row>
    <row r="28" spans="1:617" x14ac:dyDescent="0.3">
      <c r="GV28" s="309"/>
      <c r="GX28" s="309"/>
      <c r="HA28" s="309"/>
      <c r="HC28" s="309"/>
      <c r="HF28" s="309"/>
      <c r="HH28" s="309"/>
      <c r="HL28" s="309"/>
      <c r="WL28" s="309"/>
      <c r="WP28" s="309"/>
    </row>
    <row r="29" spans="1:617" ht="17.399999999999999" x14ac:dyDescent="0.3">
      <c r="U29" s="1"/>
      <c r="DV29" s="1"/>
      <c r="DW29" s="1"/>
      <c r="DX29" s="1"/>
      <c r="DY29" s="1"/>
      <c r="DZ29" s="1"/>
      <c r="EA29" s="1"/>
      <c r="EB29" s="1"/>
      <c r="EC29" s="1"/>
      <c r="ED29" s="1"/>
      <c r="EE29" s="1"/>
      <c r="EF29" s="1"/>
      <c r="EG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Q29" s="1"/>
      <c r="GV29" s="309"/>
      <c r="GX29" s="309"/>
      <c r="HA29" s="309"/>
      <c r="HC29" s="309"/>
      <c r="HF29" s="309"/>
      <c r="HH29" s="309"/>
      <c r="HL29" s="309"/>
      <c r="WL29" s="309"/>
      <c r="WP29" s="309"/>
    </row>
    <row r="30" spans="1:617" ht="17.399999999999999" x14ac:dyDescent="0.3">
      <c r="U30" s="1"/>
      <c r="DV30" s="1"/>
      <c r="DW30" s="1"/>
      <c r="DX30" s="1"/>
      <c r="DY30" s="1"/>
      <c r="DZ30" s="1"/>
      <c r="EA30" s="1"/>
      <c r="EB30" s="1"/>
      <c r="EC30" s="1"/>
      <c r="ED30" s="1"/>
      <c r="EE30" s="1"/>
      <c r="EF30" s="1"/>
      <c r="EG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Q30" s="1"/>
      <c r="GV30" s="309"/>
      <c r="GX30" s="309"/>
      <c r="HA30" s="309"/>
      <c r="HC30" s="309"/>
      <c r="HF30" s="309"/>
      <c r="HH30" s="309"/>
      <c r="HL30" s="309"/>
      <c r="WL30" s="309"/>
      <c r="WP30" s="309"/>
    </row>
    <row r="31" spans="1:617" ht="17.399999999999999" x14ac:dyDescent="0.3">
      <c r="U31" s="1"/>
      <c r="DV31" s="1"/>
      <c r="DW31" s="1"/>
      <c r="DX31" s="1"/>
      <c r="DY31" s="1"/>
      <c r="DZ31" s="1"/>
      <c r="EA31" s="1"/>
      <c r="EB31" s="1"/>
      <c r="EC31" s="1"/>
      <c r="ED31" s="1"/>
      <c r="EE31" s="1"/>
      <c r="EF31" s="1"/>
      <c r="EG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Q31" s="1"/>
      <c r="GV31" s="309"/>
      <c r="GX31" s="309"/>
      <c r="HA31" s="309"/>
      <c r="HC31" s="309"/>
      <c r="HF31" s="309"/>
      <c r="HH31" s="309"/>
      <c r="HL31" s="309"/>
      <c r="WL31" s="309"/>
      <c r="WP31" s="309"/>
    </row>
    <row r="32" spans="1:617" ht="17.399999999999999" x14ac:dyDescent="0.3">
      <c r="U32" s="1"/>
      <c r="DV32" s="1"/>
      <c r="DW32" s="1"/>
      <c r="DX32" s="1"/>
      <c r="DY32" s="1"/>
      <c r="DZ32" s="1"/>
      <c r="EA32" s="1"/>
      <c r="EB32" s="1"/>
      <c r="EC32" s="1"/>
      <c r="ED32" s="1"/>
      <c r="EE32" s="1"/>
      <c r="EF32" s="1"/>
      <c r="EG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Q32" s="1"/>
      <c r="GV32" s="309"/>
      <c r="GX32" s="309"/>
      <c r="HA32" s="309"/>
      <c r="HC32" s="309"/>
      <c r="HF32" s="309"/>
      <c r="HH32" s="309"/>
      <c r="HL32" s="309"/>
      <c r="WL32" s="309"/>
      <c r="WP32" s="309"/>
    </row>
    <row r="33" spans="21:614" ht="17.399999999999999" x14ac:dyDescent="0.3">
      <c r="U33" s="1"/>
      <c r="DV33" s="1"/>
      <c r="DW33" s="1"/>
      <c r="DX33" s="1"/>
      <c r="DY33" s="1"/>
      <c r="DZ33" s="1"/>
      <c r="EA33" s="1"/>
      <c r="EB33" s="1"/>
      <c r="EC33" s="1"/>
      <c r="ED33" s="1"/>
      <c r="EE33" s="1"/>
      <c r="EF33" s="1"/>
      <c r="EG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Q33" s="1"/>
      <c r="GV33" s="309"/>
      <c r="GX33" s="309"/>
      <c r="HA33" s="309"/>
      <c r="HC33" s="309"/>
      <c r="HF33" s="309"/>
      <c r="HH33" s="309"/>
      <c r="HL33" s="309"/>
      <c r="WL33" s="309"/>
      <c r="WP33" s="309"/>
    </row>
    <row r="34" spans="21:614" ht="17.399999999999999" x14ac:dyDescent="0.3">
      <c r="U34" s="1"/>
      <c r="DV34" s="1"/>
      <c r="DW34" s="1"/>
      <c r="DX34" s="1"/>
      <c r="DY34" s="1"/>
      <c r="DZ34" s="1"/>
      <c r="EA34" s="1"/>
      <c r="EB34" s="1"/>
      <c r="EC34" s="1"/>
      <c r="ED34" s="1"/>
      <c r="EE34" s="1"/>
      <c r="EF34" s="1"/>
      <c r="EG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Q34" s="1"/>
      <c r="GV34" s="309"/>
      <c r="GX34" s="309"/>
      <c r="HA34" s="309"/>
      <c r="HC34" s="309"/>
      <c r="HF34" s="309"/>
      <c r="HH34" s="309"/>
      <c r="HL34" s="309"/>
      <c r="WL34" s="309"/>
      <c r="WP34" s="309"/>
    </row>
    <row r="35" spans="21:614" ht="17.399999999999999" x14ac:dyDescent="0.3">
      <c r="U35" s="1"/>
      <c r="DV35" s="1"/>
      <c r="DW35" s="1"/>
      <c r="DX35" s="1"/>
      <c r="DY35" s="1"/>
      <c r="DZ35" s="1"/>
      <c r="EA35" s="1"/>
      <c r="EB35" s="1"/>
      <c r="EC35" s="1"/>
      <c r="ED35" s="1"/>
      <c r="EE35" s="1"/>
      <c r="EF35" s="1"/>
      <c r="EG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Q35" s="1"/>
      <c r="GV35" s="309"/>
      <c r="GX35" s="309"/>
      <c r="HA35" s="309"/>
      <c r="HC35" s="309"/>
      <c r="HF35" s="309"/>
      <c r="HH35" s="309"/>
      <c r="HL35" s="309"/>
      <c r="WL35" s="309"/>
      <c r="WP35" s="309"/>
    </row>
    <row r="36" spans="21:614" ht="17.399999999999999" x14ac:dyDescent="0.3">
      <c r="U36" s="1"/>
      <c r="DV36" s="1"/>
      <c r="DW36" s="1"/>
      <c r="DX36" s="1"/>
      <c r="DY36" s="1"/>
      <c r="DZ36" s="1"/>
      <c r="EA36" s="1"/>
      <c r="EB36" s="1"/>
      <c r="EC36" s="1"/>
      <c r="ED36" s="1"/>
      <c r="EE36" s="1"/>
      <c r="EF36" s="1"/>
      <c r="EG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Q36" s="1"/>
      <c r="GV36" s="309"/>
      <c r="GX36" s="309"/>
      <c r="HA36" s="309"/>
      <c r="HC36" s="309"/>
      <c r="HF36" s="309"/>
      <c r="HH36" s="309"/>
      <c r="HL36" s="309"/>
      <c r="WL36" s="309"/>
      <c r="WP36" s="309"/>
    </row>
    <row r="37" spans="21:614" ht="17.399999999999999" x14ac:dyDescent="0.3">
      <c r="U37" s="1"/>
      <c r="DV37" s="1"/>
      <c r="DW37" s="1"/>
      <c r="DX37" s="1"/>
      <c r="DY37" s="1"/>
      <c r="DZ37" s="1"/>
      <c r="EA37" s="1"/>
      <c r="EB37" s="1"/>
      <c r="EC37" s="1"/>
      <c r="ED37" s="1"/>
      <c r="EE37" s="1"/>
      <c r="EF37" s="1"/>
      <c r="EG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Q37" s="1"/>
      <c r="GV37" s="309"/>
      <c r="GX37" s="309"/>
      <c r="HA37" s="309"/>
      <c r="HC37" s="309"/>
      <c r="HF37" s="309"/>
      <c r="HH37" s="309"/>
      <c r="HL37" s="309"/>
      <c r="WL37" s="309"/>
      <c r="WP37" s="309"/>
    </row>
    <row r="38" spans="21:614" ht="17.399999999999999" x14ac:dyDescent="0.3">
      <c r="U38" s="1"/>
      <c r="DV38" s="1"/>
      <c r="DW38" s="1"/>
      <c r="DX38" s="1"/>
      <c r="DY38" s="1"/>
      <c r="DZ38" s="1"/>
      <c r="EA38" s="1"/>
      <c r="EB38" s="1"/>
      <c r="EC38" s="1"/>
      <c r="ED38" s="1"/>
      <c r="EE38" s="1"/>
      <c r="EF38" s="1"/>
      <c r="EG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Q38" s="1"/>
      <c r="GV38" s="309"/>
      <c r="GX38" s="309"/>
      <c r="HA38" s="309"/>
      <c r="HC38" s="309"/>
      <c r="HF38" s="309"/>
      <c r="HH38" s="309"/>
      <c r="HL38" s="309"/>
      <c r="WL38" s="309"/>
      <c r="WP38" s="309"/>
    </row>
    <row r="39" spans="21:614" ht="17.399999999999999" x14ac:dyDescent="0.3">
      <c r="U39" s="1"/>
      <c r="DV39" s="1"/>
      <c r="DW39" s="1"/>
      <c r="DX39" s="1"/>
      <c r="DY39" s="1"/>
      <c r="DZ39" s="1"/>
      <c r="EA39" s="1"/>
      <c r="EB39" s="1"/>
      <c r="EC39" s="1"/>
      <c r="ED39" s="1"/>
      <c r="EE39" s="1"/>
      <c r="EF39" s="1"/>
      <c r="EG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Q39" s="1"/>
      <c r="GV39" s="309"/>
      <c r="GX39" s="309"/>
      <c r="HA39" s="309"/>
      <c r="HC39" s="309"/>
      <c r="HF39" s="309"/>
      <c r="HH39" s="309"/>
      <c r="HL39" s="309"/>
      <c r="WL39" s="309"/>
      <c r="WP39" s="309"/>
    </row>
    <row r="40" spans="21:614" ht="17.399999999999999" x14ac:dyDescent="0.3">
      <c r="U40" s="1"/>
      <c r="DV40" s="1"/>
      <c r="DW40" s="1"/>
      <c r="DX40" s="1"/>
      <c r="DY40" s="1"/>
      <c r="DZ40" s="1"/>
      <c r="EA40" s="1"/>
      <c r="EB40" s="1"/>
      <c r="EC40" s="1"/>
      <c r="ED40" s="1"/>
      <c r="EE40" s="1"/>
      <c r="EF40" s="1"/>
      <c r="EG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Q40" s="1"/>
      <c r="GV40" s="309"/>
      <c r="GX40" s="309"/>
      <c r="HA40" s="309"/>
      <c r="HC40" s="309"/>
      <c r="HF40" s="309"/>
      <c r="HH40" s="309"/>
      <c r="HL40" s="309"/>
      <c r="WL40" s="309"/>
      <c r="WP40" s="309"/>
    </row>
    <row r="41" spans="21:614" x14ac:dyDescent="0.3"/>
    <row r="42" spans="21:614" x14ac:dyDescent="0.3"/>
    <row r="43" spans="21:614" x14ac:dyDescent="0.3"/>
    <row r="44" spans="21:614" x14ac:dyDescent="0.3"/>
    <row r="45" spans="21:614" x14ac:dyDescent="0.3"/>
    <row r="46" spans="21:614" x14ac:dyDescent="0.3"/>
    <row r="47" spans="21:614" x14ac:dyDescent="0.3"/>
    <row r="48" spans="21:614" x14ac:dyDescent="0.3"/>
    <row r="49" s="1" customFormat="1" ht="15.6" x14ac:dyDescent="0.3"/>
    <row r="50" s="1" customFormat="1" ht="15.6" x14ac:dyDescent="0.3"/>
    <row r="51" s="1" customFormat="1" ht="15.6" x14ac:dyDescent="0.3"/>
    <row r="52" s="1" customFormat="1" ht="15.6" x14ac:dyDescent="0.3"/>
    <row r="53" s="1" customFormat="1" ht="15.6" x14ac:dyDescent="0.3"/>
    <row r="54" s="1" customFormat="1" ht="15.6" x14ac:dyDescent="0.3"/>
  </sheetData>
  <protectedRanges>
    <protectedRange sqref="WL11:WP16 WL9:WP9" name="Rango19_1"/>
    <protectedRange sqref="QL10 TQ10 TS10 UA10 QO9:UB9 UD9:WB9 HN9:QM9 PM11:WB16 HN11:HR16 HS12:PL16 HT11:PK11" name="Rango17_1"/>
    <protectedRange sqref="HH11:HH16 HH9" name="Rango15_1"/>
    <protectedRange sqref="HF11:HF16 HF9" name="Rango14_1"/>
    <protectedRange sqref="HC11:HC16 HC9" name="Rango13_1"/>
    <protectedRange sqref="HA11:HA16 HA9" name="Rango12_1"/>
    <protectedRange sqref="GV11:GV16 GV9" name="Rango10_1"/>
    <protectedRange sqref="GE11:GE16 GE9" name="Rango8_1"/>
    <protectedRange sqref="FP11:FP16 FP9" name="Rango7_1"/>
    <protectedRange sqref="EY11:EY16 EY9" name="Rango6_1"/>
    <protectedRange sqref="DS12:DS16" name="Rango4_1"/>
    <protectedRange sqref="DQ15:DQ16" name="Rango3_1"/>
    <protectedRange sqref="A16:F16 A15:D15" name="Rango1_1"/>
    <protectedRange sqref="H9:CY9 H11:CY16" name="Rango2_1"/>
    <protectedRange sqref="EI11:EI16 EI9" name="Rango5_1"/>
    <protectedRange sqref="GJ11:GS16 GJ9:GR9" name="Rango9_1"/>
    <protectedRange sqref="GX11:GX16 GX9" name="Rango11_1"/>
    <protectedRange sqref="HI11:HL16 HI9:HL9" name="Rango16_1"/>
    <protectedRange sqref="WE11:WJ16 WE9:WJ9" name="Rango18_1"/>
    <protectedRange sqref="DB9:DB10 GH9:GH10 DD9:DD10 A9:F14 DE11" name="Rango1_1_1"/>
    <protectedRange sqref="DQ9:DQ14" name="Rango3_1_1"/>
    <protectedRange sqref="DS9" name="Rango4_1_1"/>
    <protectedRange sqref="E15:F15" name="Rango1_1_2"/>
  </protectedRanges>
  <mergeCells count="119">
    <mergeCell ref="WE8:WF8"/>
    <mergeCell ref="WG8:WH8"/>
    <mergeCell ref="WI8:WJ8"/>
    <mergeCell ref="WM8:WO8"/>
    <mergeCell ref="TK8:TL8"/>
    <mergeCell ref="TM8:TN8"/>
    <mergeCell ref="TO8:TP8"/>
    <mergeCell ref="TQ8:TZ8"/>
    <mergeCell ref="UA8:UJ8"/>
    <mergeCell ref="UK8:UT8"/>
    <mergeCell ref="HI8:HK8"/>
    <mergeCell ref="PJ8:PO8"/>
    <mergeCell ref="PP8:PU8"/>
    <mergeCell ref="PV8:QA8"/>
    <mergeCell ref="QB8:QC8"/>
    <mergeCell ref="QD8:QE8"/>
    <mergeCell ref="A4:D4"/>
    <mergeCell ref="UU8:VD8"/>
    <mergeCell ref="VE8:WB8"/>
    <mergeCell ref="RW8:RX8"/>
    <mergeCell ref="RY8:SK8"/>
    <mergeCell ref="SL8:SN8"/>
    <mergeCell ref="SO8:SR8"/>
    <mergeCell ref="SS8:ST8"/>
    <mergeCell ref="SU8:TJ8"/>
    <mergeCell ref="QZ8:RA8"/>
    <mergeCell ref="RB8:RC8"/>
    <mergeCell ref="RD8:RE8"/>
    <mergeCell ref="RF8:RP8"/>
    <mergeCell ref="RQ8:RS8"/>
    <mergeCell ref="MV7:NA7"/>
    <mergeCell ref="NB7:NG7"/>
    <mergeCell ref="NH7:NM7"/>
    <mergeCell ref="NN7:NS7"/>
    <mergeCell ref="NT7:NY7"/>
    <mergeCell ref="NZ7:OE7"/>
    <mergeCell ref="RT8:RV8"/>
    <mergeCell ref="QF8:QG8"/>
    <mergeCell ref="QH8:QK8"/>
    <mergeCell ref="QL8:QM8"/>
    <mergeCell ref="QN8:QO8"/>
    <mergeCell ref="QP8:QQ8"/>
    <mergeCell ref="QR8:QY8"/>
    <mergeCell ref="LL7:LQ7"/>
    <mergeCell ref="LR7:LW7"/>
    <mergeCell ref="LX7:MC7"/>
    <mergeCell ref="MD7:MI7"/>
    <mergeCell ref="MJ7:MO7"/>
    <mergeCell ref="MP7:MU7"/>
    <mergeCell ref="KB7:KG7"/>
    <mergeCell ref="KH7:KM7"/>
    <mergeCell ref="KN7:KS7"/>
    <mergeCell ref="KT7:KY7"/>
    <mergeCell ref="KZ7:LE7"/>
    <mergeCell ref="LF7:LK7"/>
    <mergeCell ref="SL7:TJ7"/>
    <mergeCell ref="WK7:WL7"/>
    <mergeCell ref="WM7:WP7"/>
    <mergeCell ref="OF7:OK7"/>
    <mergeCell ref="OL7:OQ7"/>
    <mergeCell ref="OR7:OW7"/>
    <mergeCell ref="OX7:PC7"/>
    <mergeCell ref="PD7:PI7"/>
    <mergeCell ref="QH7:QK7"/>
    <mergeCell ref="QL7:QY7"/>
    <mergeCell ref="QZ7:RP7"/>
    <mergeCell ref="RQ7:SK7"/>
    <mergeCell ref="IX7:JC7"/>
    <mergeCell ref="JD7:JI7"/>
    <mergeCell ref="JJ7:JO7"/>
    <mergeCell ref="JP7:JU7"/>
    <mergeCell ref="JV7:KA7"/>
    <mergeCell ref="HI7:HL7"/>
    <mergeCell ref="HN7:HS7"/>
    <mergeCell ref="HT7:HY7"/>
    <mergeCell ref="HZ7:IE7"/>
    <mergeCell ref="IF7:IK7"/>
    <mergeCell ref="IL7:IQ7"/>
    <mergeCell ref="HE7:HF7"/>
    <mergeCell ref="HG7:HH7"/>
    <mergeCell ref="DT7:EI7"/>
    <mergeCell ref="EJ7:EY7"/>
    <mergeCell ref="EZ7:FP7"/>
    <mergeCell ref="FQ7:GE7"/>
    <mergeCell ref="GJ7:GN7"/>
    <mergeCell ref="GO7:GR7"/>
    <mergeCell ref="IR7:IW7"/>
    <mergeCell ref="H7:S7"/>
    <mergeCell ref="T7:AE7"/>
    <mergeCell ref="AF7:AQ7"/>
    <mergeCell ref="AR7:BC7"/>
    <mergeCell ref="BD7:BO7"/>
    <mergeCell ref="DH7:DS7"/>
    <mergeCell ref="GJ5:GT6"/>
    <mergeCell ref="GU5:GY6"/>
    <mergeCell ref="GZ5:HD6"/>
    <mergeCell ref="GU7:GV7"/>
    <mergeCell ref="GW7:GX7"/>
    <mergeCell ref="GZ7:HA7"/>
    <mergeCell ref="HB7:HC7"/>
    <mergeCell ref="BP7:CA7"/>
    <mergeCell ref="CB7:CM7"/>
    <mergeCell ref="CN7:CY7"/>
    <mergeCell ref="HE5:HM6"/>
    <mergeCell ref="HN5:LK5"/>
    <mergeCell ref="LL5:PI5"/>
    <mergeCell ref="WK5:WQ6"/>
    <mergeCell ref="HN6:IQ6"/>
    <mergeCell ref="IR6:KA6"/>
    <mergeCell ref="KB6:LK6"/>
    <mergeCell ref="LL6:MO6"/>
    <mergeCell ref="MP6:NY6"/>
    <mergeCell ref="NZ6:PI6"/>
    <mergeCell ref="PJ5:QA6"/>
    <mergeCell ref="QB5:QG6"/>
    <mergeCell ref="QH5:TJ6"/>
    <mergeCell ref="TK5:TP6"/>
    <mergeCell ref="TQ5:WD6"/>
    <mergeCell ref="WE5:WJ6"/>
  </mergeCells>
  <conditionalFormatting sqref="G9:G16">
    <cfRule type="cellIs" dxfId="33" priority="63" operator="greaterThan">
      <formula>110</formula>
    </cfRule>
  </conditionalFormatting>
  <conditionalFormatting sqref="DD11">
    <cfRule type="cellIs" dxfId="32" priority="1" operator="equal">
      <formula>0</formula>
    </cfRule>
  </conditionalFormatting>
  <conditionalFormatting sqref="DE9:DF9 DH9:GE9 GT9:GU9 GW9 GY9 HD9 HM9 WC9 WQ9 DE10 DH10:DQ10 DF11 DI11:GE11 DB11:DB16 GT11:GU16 GW11:GW16 GY11:GY16 HD11:HD16 HM11:HM16 WC11:WC16 WQ11:WQ16 DD12:DF16 DH12:GE16">
    <cfRule type="cellIs" dxfId="31" priority="62" operator="equal">
      <formula>0</formula>
    </cfRule>
  </conditionalFormatting>
  <conditionalFormatting sqref="DG9:DG16">
    <cfRule type="cellIs" dxfId="30" priority="60" operator="greaterThan">
      <formula>1332</formula>
    </cfRule>
  </conditionalFormatting>
  <conditionalFormatting sqref="GH11:GH16">
    <cfRule type="cellIs" dxfId="29" priority="3" operator="equal">
      <formula>0</formula>
    </cfRule>
  </conditionalFormatting>
  <conditionalFormatting sqref="GU9 GU11:GU16">
    <cfRule type="cellIs" dxfId="28" priority="55" operator="greaterThan">
      <formula>12</formula>
    </cfRule>
  </conditionalFormatting>
  <conditionalFormatting sqref="GW9 GW11:GW16">
    <cfRule type="cellIs" dxfId="27" priority="42" operator="greaterThan">
      <formula>9</formula>
    </cfRule>
  </conditionalFormatting>
  <conditionalFormatting sqref="GZ9 GZ11:GZ16">
    <cfRule type="cellIs" dxfId="26" priority="51" operator="greaterThan">
      <formula>9</formula>
    </cfRule>
    <cfRule type="cellIs" dxfId="25" priority="52" operator="lessThan">
      <formula>1</formula>
    </cfRule>
  </conditionalFormatting>
  <conditionalFormatting sqref="HB9 HB11:HB16">
    <cfRule type="cellIs" dxfId="24" priority="49" operator="greaterThan">
      <formula>6</formula>
    </cfRule>
    <cfRule type="cellIs" dxfId="23" priority="50" operator="lessThan">
      <formula>1</formula>
    </cfRule>
  </conditionalFormatting>
  <conditionalFormatting sqref="HE9 HE11:HE16">
    <cfRule type="cellIs" dxfId="22" priority="46" operator="greaterThan">
      <formula>6</formula>
    </cfRule>
    <cfRule type="cellIs" dxfId="21" priority="47" operator="lessThan">
      <formula>1</formula>
    </cfRule>
  </conditionalFormatting>
  <conditionalFormatting sqref="HG9 HG11:HG16">
    <cfRule type="cellIs" dxfId="20" priority="44" operator="greaterThan">
      <formula>9</formula>
    </cfRule>
    <cfRule type="cellIs" dxfId="19" priority="45" operator="lessThan">
      <formula>1</formula>
    </cfRule>
  </conditionalFormatting>
  <conditionalFormatting sqref="WK9 WK11:WK16">
    <cfRule type="cellIs" dxfId="18" priority="38" operator="greaterThan">
      <formula>9</formula>
    </cfRule>
    <cfRule type="cellIs" dxfId="17" priority="39" operator="lessThan">
      <formula>1</formula>
    </cfRule>
  </conditionalFormatting>
  <pageMargins left="0.62" right="0.72" top="0.35433070866141736" bottom="0.35433070866141736" header="0.31496062992125984" footer="0.31496062992125984"/>
  <pageSetup paperSize="9" scale="50" orientation="landscape" verticalDpi="72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ZZ54"/>
  <sheetViews>
    <sheetView topLeftCell="AT7" workbookViewId="0">
      <selection activeCell="A11" sqref="A11:G16"/>
    </sheetView>
  </sheetViews>
  <sheetFormatPr defaultColWidth="0" defaultRowHeight="18.75" customHeight="1" zeroHeight="1" x14ac:dyDescent="0.3"/>
  <cols>
    <col min="1" max="1" width="31.33203125" style="1" customWidth="1"/>
    <col min="2" max="2" width="14.109375" style="1" customWidth="1"/>
    <col min="3" max="3" width="18.33203125" style="1" customWidth="1"/>
    <col min="4" max="6" width="15.6640625" style="1" customWidth="1"/>
    <col min="7" max="7" width="9.33203125" style="1" customWidth="1"/>
    <col min="8" max="19" width="5.6640625" style="1" hidden="1" customWidth="1"/>
    <col min="20" max="20" width="5.6640625" style="1" customWidth="1"/>
    <col min="21" max="21" width="5.6640625" style="2" customWidth="1"/>
    <col min="22" max="115" width="5.6640625" style="1" customWidth="1"/>
    <col min="116" max="117" width="20.6640625" style="1" customWidth="1"/>
    <col min="118" max="118" width="36" style="1" customWidth="1"/>
    <col min="119" max="119" width="30.6640625" style="1" customWidth="1"/>
    <col min="120" max="120" width="20.6640625" style="1" customWidth="1"/>
    <col min="121" max="123" width="15.6640625" style="1" customWidth="1"/>
    <col min="124" max="133" width="5.6640625" style="1" customWidth="1"/>
    <col min="134" max="135" width="15.6640625" style="1" customWidth="1"/>
    <col min="136" max="137" width="5.6640625" style="1" customWidth="1"/>
    <col min="138" max="150" width="5.6640625" style="3" customWidth="1"/>
    <col min="151" max="151" width="15.6640625" style="3" customWidth="1"/>
    <col min="152" max="166" width="5.6640625" style="3" customWidth="1"/>
    <col min="167" max="167" width="15.6640625" style="3" customWidth="1"/>
    <col min="168" max="168" width="5.6640625" style="3" customWidth="1"/>
    <col min="169" max="183" width="5.6640625" style="1" customWidth="1"/>
    <col min="184" max="184" width="15.6640625" style="1" customWidth="1"/>
    <col min="185" max="185" width="5.6640625" style="3" customWidth="1"/>
    <col min="186" max="198" width="5.6640625" style="1" customWidth="1"/>
    <col min="199" max="199" width="15.6640625" style="1" customWidth="1"/>
    <col min="200" max="201" width="20.6640625" style="1" customWidth="1"/>
    <col min="202" max="202" width="34.44140625" style="1" customWidth="1"/>
    <col min="203" max="203" width="30.6640625" style="1" customWidth="1"/>
    <col min="204" max="211" width="5.6640625" style="1" customWidth="1"/>
    <col min="212" max="212" width="11" style="1" customWidth="1"/>
    <col min="213" max="215" width="15.6640625" style="1" customWidth="1"/>
    <col min="216" max="216" width="5.6640625" style="1" customWidth="1"/>
    <col min="217" max="217" width="15.6640625" style="1" customWidth="1"/>
    <col min="218" max="218" width="5.6640625" style="1" customWidth="1"/>
    <col min="219" max="220" width="15.6640625" style="1" customWidth="1"/>
    <col min="221" max="221" width="5.6640625" style="1" customWidth="1"/>
    <col min="222" max="222" width="15.6640625" style="1" customWidth="1"/>
    <col min="223" max="223" width="5.6640625" style="1" customWidth="1"/>
    <col min="224" max="225" width="15.6640625" style="1" customWidth="1"/>
    <col min="226" max="226" width="5.6640625" style="1" customWidth="1"/>
    <col min="227" max="227" width="15.6640625" style="1" customWidth="1"/>
    <col min="228" max="228" width="5.6640625" style="1" customWidth="1"/>
    <col min="229" max="231" width="10.6640625" style="1" customWidth="1"/>
    <col min="232" max="232" width="5.6640625" style="1" customWidth="1"/>
    <col min="233" max="233" width="15.6640625" style="1" customWidth="1"/>
    <col min="234" max="251" width="5.6640625" style="1" customWidth="1"/>
    <col min="252" max="263" width="7.6640625" style="1" customWidth="1"/>
    <col min="264" max="275" width="5.6640625" style="1" customWidth="1"/>
    <col min="276" max="281" width="10.6640625" style="1" customWidth="1"/>
    <col min="282" max="299" width="5.6640625" style="1" customWidth="1"/>
    <col min="300" max="311" width="8.6640625" style="1" customWidth="1"/>
    <col min="312" max="317" width="9.6640625" style="1" customWidth="1"/>
    <col min="318" max="323" width="7.6640625" style="1" customWidth="1"/>
    <col min="324" max="329" width="8.6640625" style="1" customWidth="1"/>
    <col min="330" max="353" width="5.6640625" style="1" customWidth="1"/>
    <col min="354" max="365" width="7.6640625" style="1" customWidth="1"/>
    <col min="366" max="377" width="5.6640625" style="1" customWidth="1"/>
    <col min="378" max="383" width="10.6640625" style="1" customWidth="1"/>
    <col min="384" max="401" width="5.6640625" style="1" customWidth="1"/>
    <col min="402" max="413" width="8.6640625" style="1" customWidth="1"/>
    <col min="414" max="419" width="9.6640625" style="1" customWidth="1"/>
    <col min="420" max="425" width="7.6640625" style="1" customWidth="1"/>
    <col min="426" max="431" width="8.6640625" style="1" customWidth="1"/>
    <col min="432" max="437" width="5.6640625" style="1" customWidth="1"/>
    <col min="438" max="438" width="45.6640625" style="1" customWidth="1"/>
    <col min="439" max="439" width="5.6640625" style="1" customWidth="1"/>
    <col min="440" max="440" width="45.6640625" style="1" customWidth="1"/>
    <col min="441" max="441" width="5.6640625" style="1" customWidth="1"/>
    <col min="442" max="442" width="45.6640625" style="1" customWidth="1"/>
    <col min="443" max="443" width="5.6640625" style="1" customWidth="1"/>
    <col min="444" max="444" width="45.6640625" style="1" customWidth="1"/>
    <col min="445" max="445" width="5.6640625" style="1" customWidth="1"/>
    <col min="446" max="446" width="45.6640625" style="1" customWidth="1"/>
    <col min="447" max="447" width="5.6640625" style="1" customWidth="1"/>
    <col min="448" max="448" width="45.6640625" style="1" customWidth="1"/>
    <col min="449" max="449" width="5.6640625" style="1" customWidth="1"/>
    <col min="450" max="450" width="45.6640625" style="1" customWidth="1"/>
    <col min="451" max="451" width="5.6640625" style="1" customWidth="1"/>
    <col min="452" max="452" width="45.6640625" style="1" customWidth="1"/>
    <col min="453" max="453" width="5.6640625" style="1" customWidth="1"/>
    <col min="454" max="454" width="45.6640625" style="1" customWidth="1"/>
    <col min="455" max="455" width="5.6640625" style="1" customWidth="1"/>
    <col min="456" max="456" width="25.6640625" style="1" customWidth="1"/>
    <col min="457" max="457" width="5.6640625" style="1" customWidth="1"/>
    <col min="458" max="458" width="15.6640625" style="1" customWidth="1"/>
    <col min="459" max="459" width="5.6640625" style="1" customWidth="1"/>
    <col min="460" max="460" width="15.6640625" style="1" customWidth="1"/>
    <col min="461" max="461" width="5.6640625" style="1" customWidth="1"/>
    <col min="462" max="464" width="10.6640625" style="1" customWidth="1"/>
    <col min="465" max="465" width="5.6640625" style="1" customWidth="1"/>
    <col min="466" max="466" width="35.6640625" style="1" customWidth="1"/>
    <col min="467" max="467" width="5.6640625" style="1" customWidth="1"/>
    <col min="468" max="468" width="35.6640625" style="1" customWidth="1"/>
    <col min="469" max="469" width="5.6640625" style="1" customWidth="1"/>
    <col min="470" max="470" width="30.6640625" style="1" customWidth="1"/>
    <col min="471" max="471" width="5.6640625" style="1" customWidth="1"/>
    <col min="472" max="478" width="10.6640625" style="1" customWidth="1"/>
    <col min="479" max="479" width="5.6640625" style="1" customWidth="1"/>
    <col min="480" max="480" width="35.6640625" style="1" customWidth="1"/>
    <col min="481" max="481" width="5.6640625" style="1" customWidth="1"/>
    <col min="482" max="482" width="35.6640625" style="1" customWidth="1"/>
    <col min="483" max="483" width="5.6640625" style="1" customWidth="1"/>
    <col min="484" max="484" width="30.6640625" style="1" customWidth="1"/>
    <col min="485" max="485" width="5.6640625" style="1" customWidth="1"/>
    <col min="486" max="495" width="10.6640625" style="1" customWidth="1"/>
    <col min="496" max="496" width="5.6640625" style="1" customWidth="1"/>
    <col min="497" max="498" width="18.6640625" style="1" customWidth="1"/>
    <col min="499" max="499" width="5.6640625" style="1" customWidth="1"/>
    <col min="500" max="501" width="18.6640625" style="1" customWidth="1"/>
    <col min="502" max="502" width="5.6640625" style="1" customWidth="1"/>
    <col min="503" max="503" width="30.6640625" style="1" customWidth="1"/>
    <col min="504" max="504" width="5.6640625" style="1" customWidth="1"/>
    <col min="505" max="516" width="10.6640625" style="1" customWidth="1"/>
    <col min="517" max="517" width="5.6640625" style="1" customWidth="1"/>
    <col min="518" max="519" width="18.6640625" style="1" customWidth="1"/>
    <col min="520" max="520" width="5.6640625" style="1" customWidth="1"/>
    <col min="521" max="523" width="18.6640625" style="1" customWidth="1"/>
    <col min="524" max="524" width="5.6640625" style="1" customWidth="1"/>
    <col min="525" max="525" width="30.6640625" style="1" customWidth="1"/>
    <col min="526" max="526" width="5.6640625" style="1" customWidth="1"/>
    <col min="527" max="541" width="10.6640625" style="1" customWidth="1"/>
    <col min="542" max="542" width="5.6640625" style="1" customWidth="1"/>
    <col min="543" max="543" width="15.6640625" style="1" customWidth="1"/>
    <col min="544" max="544" width="5.6640625" style="1" customWidth="1"/>
    <col min="545" max="545" width="15.6640625" style="1" customWidth="1"/>
    <col min="546" max="546" width="5.6640625" style="1" customWidth="1"/>
    <col min="547" max="547" width="15.6640625" style="1" customWidth="1"/>
    <col min="548" max="548" width="5.6640625" style="1" customWidth="1"/>
    <col min="549" max="549" width="30.6640625" style="1" customWidth="1"/>
    <col min="550" max="550" width="5.6640625" style="1" customWidth="1"/>
    <col min="551" max="551" width="30.6640625" style="1" customWidth="1"/>
    <col min="552" max="552" width="5.6640625" style="1" customWidth="1"/>
    <col min="553" max="553" width="30.6640625" style="1" customWidth="1"/>
    <col min="554" max="554" width="5.6640625" style="1" customWidth="1"/>
    <col min="555" max="555" width="30.6640625" style="1" customWidth="1"/>
    <col min="556" max="556" width="5.6640625" style="1" customWidth="1"/>
    <col min="557" max="557" width="30.6640625" style="1" customWidth="1"/>
    <col min="558" max="558" width="5.6640625" style="1" customWidth="1"/>
    <col min="559" max="559" width="30.6640625" style="1" customWidth="1"/>
    <col min="560" max="560" width="5.6640625" style="1" customWidth="1"/>
    <col min="561" max="561" width="30.6640625" style="1" customWidth="1"/>
    <col min="562" max="562" width="5.6640625" style="1" customWidth="1"/>
    <col min="563" max="563" width="30.6640625" style="1" customWidth="1"/>
    <col min="564" max="564" width="5.6640625" style="1" customWidth="1"/>
    <col min="565" max="565" width="30.6640625" style="1" customWidth="1"/>
    <col min="566" max="566" width="5.6640625" style="1" customWidth="1"/>
    <col min="567" max="567" width="30.6640625" style="1" customWidth="1"/>
    <col min="568" max="568" width="5.6640625" style="1" customWidth="1"/>
    <col min="569" max="569" width="30.6640625" style="1" customWidth="1"/>
    <col min="570" max="570" width="5.6640625" style="1" customWidth="1"/>
    <col min="571" max="571" width="30.6640625" style="1" customWidth="1"/>
    <col min="572" max="572" width="5.6640625" style="1" customWidth="1"/>
    <col min="573" max="573" width="30.6640625" style="1" customWidth="1"/>
    <col min="574" max="574" width="5.6640625" style="1" customWidth="1"/>
    <col min="575" max="575" width="30.6640625" style="1" customWidth="1"/>
    <col min="576" max="576" width="5.6640625" style="1" customWidth="1"/>
    <col min="577" max="577" width="30.6640625" style="1" customWidth="1"/>
    <col min="578" max="578" width="5.6640625" style="1" customWidth="1"/>
    <col min="579" max="579" width="30.6640625" style="1" customWidth="1"/>
    <col min="580" max="580" width="5.6640625" style="1" customWidth="1"/>
    <col min="581" max="581" width="30.6640625" style="1" customWidth="1"/>
    <col min="582" max="582" width="5.6640625" style="1" customWidth="1"/>
    <col min="583" max="583" width="30.6640625" style="1" customWidth="1"/>
    <col min="584" max="584" width="5.6640625" style="1" customWidth="1"/>
    <col min="585" max="585" width="30.6640625" style="1" customWidth="1"/>
    <col min="586" max="586" width="5.6640625" style="1" customWidth="1"/>
    <col min="587" max="587" width="30.6640625" style="1" customWidth="1"/>
    <col min="588" max="588" width="5.6640625" style="1" customWidth="1"/>
    <col min="589" max="589" width="15.6640625" style="1" customWidth="1"/>
    <col min="590" max="591" width="5.6640625" style="1" customWidth="1"/>
    <col min="592" max="592" width="15.6640625" style="1" customWidth="1"/>
    <col min="593" max="594" width="5.6640625" style="1" customWidth="1"/>
    <col min="595" max="595" width="15.6640625" style="1" customWidth="1"/>
    <col min="596" max="597" width="5.6640625" style="1" customWidth="1"/>
    <col min="598" max="598" width="15.6640625" style="1" customWidth="1"/>
    <col min="599" max="600" width="5.6640625" style="1" customWidth="1"/>
    <col min="601" max="601" width="15.6640625" style="1" customWidth="1"/>
    <col min="602" max="603" width="5.6640625" style="1" customWidth="1"/>
    <col min="604" max="604" width="15.6640625" style="1" customWidth="1"/>
    <col min="605" max="606" width="5.6640625" style="1" customWidth="1"/>
    <col min="607" max="607" width="15.6640625" style="1" customWidth="1"/>
    <col min="608" max="609" width="5.6640625" style="1" customWidth="1"/>
    <col min="610" max="610" width="15.6640625" style="1" customWidth="1"/>
    <col min="611" max="612" width="5.6640625" style="1" customWidth="1"/>
    <col min="613" max="613" width="10.6640625" style="1" customWidth="1"/>
    <col min="614" max="614" width="50.6640625" style="1" customWidth="1"/>
    <col min="615" max="615" width="15.6640625" style="1" customWidth="1"/>
    <col min="616" max="616" width="5.6640625" style="1" customWidth="1"/>
    <col min="617" max="617" width="15.6640625" style="1" customWidth="1"/>
    <col min="618" max="618" width="5.6640625" style="1" customWidth="1"/>
    <col min="619" max="619" width="15.6640625" style="1" customWidth="1"/>
    <col min="620" max="620" width="5.6640625" style="1" customWidth="1"/>
    <col min="621" max="621" width="15.6640625" style="1" customWidth="1"/>
    <col min="622" max="622" width="5.6640625" style="1" customWidth="1"/>
    <col min="623" max="625" width="10.6640625" style="1" customWidth="1"/>
    <col min="626" max="626" width="5.6640625" style="1" customWidth="1"/>
    <col min="627" max="627" width="15.6640625" style="1" customWidth="1"/>
    <col min="628" max="629" width="20.6640625" style="1" customWidth="1"/>
    <col min="630" max="700" width="9.109375" style="1" hidden="1" customWidth="1"/>
    <col min="701" max="702" width="0" style="1" hidden="1" customWidth="1"/>
    <col min="703" max="703" width="9.109375" style="1" hidden="1" customWidth="1"/>
    <col min="704" max="16384" width="9.109375" style="1" hidden="1"/>
  </cols>
  <sheetData>
    <row r="1" spans="1:629" ht="18" x14ac:dyDescent="0.3"/>
    <row r="2" spans="1:629" ht="30" x14ac:dyDescent="0.3">
      <c r="A2" s="4" t="s">
        <v>347</v>
      </c>
      <c r="B2" s="4"/>
      <c r="C2" s="4"/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4"/>
      <c r="BO2" s="4"/>
      <c r="BP2" s="4"/>
      <c r="BQ2" s="4"/>
      <c r="BR2" s="4"/>
      <c r="BS2" s="4"/>
      <c r="BT2" s="4"/>
      <c r="BU2" s="4"/>
      <c r="BV2" s="4"/>
      <c r="BW2" s="4"/>
      <c r="BX2" s="4"/>
      <c r="BY2" s="4"/>
      <c r="BZ2" s="4"/>
      <c r="CA2" s="4"/>
      <c r="CB2" s="4"/>
      <c r="CC2" s="4"/>
      <c r="CD2" s="4"/>
      <c r="CE2" s="4"/>
      <c r="CF2" s="4"/>
      <c r="CG2" s="4"/>
      <c r="CH2" s="4"/>
      <c r="CI2" s="4"/>
      <c r="CJ2" s="4"/>
      <c r="CK2" s="4"/>
      <c r="CL2" s="4"/>
      <c r="CM2" s="4"/>
      <c r="CN2" s="4"/>
      <c r="CO2" s="4"/>
      <c r="CP2" s="4"/>
      <c r="CQ2" s="4"/>
      <c r="CR2" s="4"/>
      <c r="CS2" s="4"/>
      <c r="CT2" s="4"/>
      <c r="CU2" s="4"/>
      <c r="CV2" s="4"/>
      <c r="CW2" s="4"/>
      <c r="CX2" s="4"/>
      <c r="CY2" s="4"/>
      <c r="CZ2" s="4"/>
      <c r="DA2" s="4"/>
      <c r="DB2" s="4"/>
      <c r="DC2" s="4"/>
      <c r="DD2" s="4"/>
      <c r="DE2" s="4"/>
      <c r="DF2" s="4"/>
      <c r="DG2" s="4"/>
      <c r="DH2" s="4"/>
      <c r="DI2" s="4"/>
      <c r="DJ2" s="4"/>
      <c r="DK2" s="4"/>
      <c r="DL2" s="4"/>
      <c r="DM2" s="4"/>
      <c r="DN2" s="4" t="s">
        <v>346</v>
      </c>
      <c r="DO2" s="4"/>
      <c r="DP2" s="4"/>
      <c r="DQ2" s="4"/>
      <c r="DR2" s="4"/>
      <c r="DS2" s="4"/>
      <c r="DT2" s="4"/>
      <c r="DU2" s="4"/>
      <c r="DV2" s="4"/>
      <c r="DW2" s="4"/>
      <c r="DX2" s="4"/>
      <c r="DY2" s="4"/>
      <c r="DZ2" s="4"/>
      <c r="EA2" s="4"/>
      <c r="EB2" s="4"/>
      <c r="EC2" s="4"/>
      <c r="ED2" s="4"/>
      <c r="EE2" s="4"/>
      <c r="EF2" s="4"/>
      <c r="EG2" s="4"/>
      <c r="EH2" s="4"/>
      <c r="EI2" s="4"/>
      <c r="EJ2" s="4"/>
      <c r="EK2" s="4"/>
      <c r="EL2" s="4"/>
      <c r="EM2" s="4"/>
      <c r="EN2" s="4"/>
      <c r="EO2" s="4"/>
      <c r="EP2" s="4"/>
      <c r="EQ2" s="4"/>
      <c r="ER2" s="4"/>
      <c r="ES2" s="4"/>
      <c r="ET2" s="4"/>
      <c r="EU2" s="4"/>
      <c r="EV2" s="4"/>
      <c r="EW2" s="4"/>
      <c r="EX2" s="4"/>
      <c r="EY2" s="4"/>
      <c r="EZ2" s="4"/>
      <c r="FA2" s="4"/>
      <c r="FB2" s="4"/>
      <c r="FC2" s="4"/>
      <c r="FD2" s="4"/>
      <c r="FE2" s="4"/>
      <c r="FF2" s="4"/>
      <c r="FG2" s="4"/>
      <c r="FH2" s="4"/>
      <c r="FI2" s="4"/>
      <c r="FJ2" s="4"/>
      <c r="FK2" s="4"/>
      <c r="FL2" s="4"/>
      <c r="FM2" s="4"/>
      <c r="FN2" s="4"/>
      <c r="FO2" s="4"/>
      <c r="FP2" s="4"/>
      <c r="FQ2" s="4"/>
      <c r="FR2" s="4"/>
      <c r="FS2" s="4"/>
      <c r="FT2" s="4"/>
      <c r="FU2" s="4"/>
      <c r="FV2" s="4"/>
      <c r="FW2" s="4"/>
      <c r="FX2" s="4"/>
      <c r="FY2" s="4"/>
      <c r="FZ2" s="4"/>
      <c r="GA2" s="4"/>
      <c r="GB2" s="4"/>
      <c r="GC2" s="4"/>
      <c r="GD2" s="4"/>
      <c r="GE2" s="4"/>
      <c r="GF2" s="4"/>
      <c r="GG2" s="4"/>
      <c r="GH2" s="4"/>
      <c r="GI2" s="4"/>
      <c r="GJ2" s="4"/>
      <c r="GK2" s="4"/>
      <c r="GL2" s="4"/>
      <c r="GM2" s="4"/>
      <c r="GN2" s="4"/>
      <c r="GO2" s="4"/>
      <c r="GP2" s="4"/>
      <c r="GQ2" s="4"/>
      <c r="GR2" s="4"/>
      <c r="GS2" s="5"/>
      <c r="GT2" s="4" t="s">
        <v>346</v>
      </c>
      <c r="GU2" s="4"/>
      <c r="GV2" s="4"/>
      <c r="GW2" s="4"/>
      <c r="GX2" s="4"/>
      <c r="GY2" s="4"/>
      <c r="GZ2" s="4"/>
      <c r="HA2" s="4"/>
      <c r="HB2" s="4"/>
      <c r="HC2" s="4"/>
      <c r="HD2" s="4"/>
      <c r="HE2" s="4"/>
      <c r="HF2" s="4"/>
      <c r="HG2" s="4"/>
      <c r="HH2" s="4"/>
      <c r="HI2" s="4"/>
      <c r="HJ2" s="4"/>
      <c r="HK2" s="4"/>
      <c r="HL2" s="4"/>
    </row>
    <row r="3" spans="1:629" s="5" customFormat="1" ht="30" x14ac:dyDescent="0.3">
      <c r="A3" s="4" t="s">
        <v>358</v>
      </c>
      <c r="B3" s="4"/>
      <c r="C3" s="4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4"/>
      <c r="AV3" s="4"/>
      <c r="AW3" s="4"/>
      <c r="AX3" s="4"/>
      <c r="AY3" s="4"/>
      <c r="AZ3" s="4"/>
      <c r="BA3" s="4"/>
      <c r="BB3" s="4"/>
      <c r="BC3" s="4"/>
      <c r="BD3" s="4"/>
      <c r="BE3" s="4"/>
      <c r="BF3" s="4"/>
      <c r="BG3" s="4"/>
      <c r="BH3" s="4"/>
      <c r="BI3" s="4"/>
      <c r="BJ3" s="4"/>
      <c r="BK3" s="4"/>
      <c r="BL3" s="4"/>
      <c r="BM3" s="4"/>
      <c r="BN3" s="4"/>
      <c r="BO3" s="4"/>
      <c r="BP3" s="4"/>
      <c r="BQ3" s="4"/>
      <c r="BR3" s="4"/>
      <c r="BS3" s="4"/>
      <c r="BT3" s="4"/>
      <c r="BU3" s="4"/>
      <c r="BV3" s="4"/>
      <c r="BW3" s="4"/>
      <c r="BX3" s="4"/>
      <c r="BY3" s="4"/>
      <c r="BZ3" s="4"/>
      <c r="CA3" s="4"/>
      <c r="CB3" s="4"/>
      <c r="CC3" s="4"/>
      <c r="CD3" s="4"/>
      <c r="CE3" s="4"/>
      <c r="CF3" s="4"/>
      <c r="CG3" s="4"/>
      <c r="CH3" s="4"/>
      <c r="CI3" s="4"/>
      <c r="CJ3" s="4"/>
      <c r="CK3" s="4"/>
      <c r="CL3" s="4"/>
      <c r="CM3" s="4"/>
      <c r="CN3" s="4"/>
      <c r="CO3" s="4"/>
      <c r="CP3" s="4"/>
      <c r="CQ3" s="4"/>
      <c r="CR3" s="4"/>
      <c r="CS3" s="4"/>
      <c r="CT3" s="4"/>
      <c r="CU3" s="4"/>
      <c r="CV3" s="4"/>
      <c r="CW3" s="4"/>
      <c r="CX3" s="4"/>
      <c r="CY3" s="4"/>
      <c r="CZ3" s="4"/>
      <c r="DA3" s="4"/>
      <c r="DB3" s="4"/>
      <c r="DC3" s="4"/>
      <c r="DD3" s="4"/>
      <c r="DE3" s="4"/>
      <c r="DF3" s="4"/>
      <c r="DG3" s="4"/>
      <c r="DH3" s="4"/>
      <c r="DI3" s="4"/>
      <c r="DJ3" s="4"/>
      <c r="DK3" s="4"/>
      <c r="DL3" s="4"/>
      <c r="DM3" s="4"/>
      <c r="DN3" s="4" t="s">
        <v>358</v>
      </c>
      <c r="DO3" s="4"/>
      <c r="DP3" s="4"/>
      <c r="DQ3" s="4"/>
      <c r="DR3" s="4"/>
      <c r="DS3" s="4"/>
      <c r="DT3" s="4"/>
      <c r="DU3" s="4"/>
      <c r="DV3" s="4"/>
      <c r="DW3" s="4"/>
      <c r="DX3" s="4"/>
      <c r="DY3" s="4"/>
      <c r="DZ3" s="4"/>
      <c r="EA3" s="4"/>
      <c r="EB3" s="4"/>
      <c r="EC3" s="4"/>
      <c r="ED3" s="4"/>
      <c r="EE3" s="4"/>
      <c r="EF3" s="4"/>
      <c r="EG3" s="4"/>
      <c r="EH3" s="4"/>
      <c r="EI3" s="4"/>
      <c r="EJ3" s="4"/>
      <c r="EK3" s="4"/>
      <c r="EL3" s="4"/>
      <c r="EM3" s="4"/>
      <c r="EN3" s="4"/>
      <c r="EO3" s="4"/>
      <c r="EP3" s="4"/>
      <c r="EQ3" s="4"/>
      <c r="ER3" s="4"/>
      <c r="ES3" s="4"/>
      <c r="ET3" s="4"/>
      <c r="EU3" s="4"/>
      <c r="EV3" s="4"/>
      <c r="EW3" s="4"/>
      <c r="EX3" s="4"/>
      <c r="EY3" s="4"/>
      <c r="EZ3" s="4"/>
      <c r="FA3" s="4"/>
      <c r="FB3" s="4"/>
      <c r="FC3" s="4"/>
      <c r="FD3" s="4"/>
      <c r="FE3" s="4"/>
      <c r="FF3" s="4"/>
      <c r="FG3" s="4"/>
      <c r="FH3" s="4"/>
      <c r="FI3" s="4"/>
      <c r="FJ3" s="4"/>
      <c r="FK3" s="4"/>
      <c r="FL3" s="4"/>
      <c r="FM3" s="4"/>
      <c r="FN3" s="4"/>
      <c r="FO3" s="4"/>
      <c r="FP3" s="4"/>
      <c r="FQ3" s="4"/>
      <c r="FR3" s="4"/>
      <c r="FS3" s="4"/>
      <c r="FT3" s="4"/>
      <c r="FU3" s="4"/>
      <c r="FV3" s="4"/>
      <c r="FW3" s="4"/>
      <c r="FX3" s="4"/>
      <c r="FY3" s="4"/>
      <c r="FZ3" s="4"/>
      <c r="GA3" s="4"/>
      <c r="GB3" s="4"/>
      <c r="GC3" s="4"/>
      <c r="GD3" s="4"/>
      <c r="GE3" s="4"/>
      <c r="GF3" s="4"/>
      <c r="GG3" s="4"/>
      <c r="GH3" s="4"/>
      <c r="GI3" s="4"/>
      <c r="GJ3" s="4"/>
      <c r="GK3" s="4"/>
      <c r="GL3" s="4"/>
      <c r="GM3" s="4"/>
      <c r="GN3" s="4"/>
      <c r="GO3" s="4"/>
      <c r="GP3" s="4"/>
      <c r="GQ3" s="4"/>
      <c r="GR3" s="4"/>
      <c r="GS3" s="7"/>
      <c r="GT3" s="4" t="s">
        <v>358</v>
      </c>
      <c r="GU3" s="4"/>
      <c r="GW3" s="8"/>
      <c r="GX3" s="8"/>
      <c r="GY3" s="8"/>
      <c r="GZ3" s="8"/>
      <c r="HA3" s="8"/>
      <c r="HB3" s="8"/>
      <c r="HC3" s="8"/>
      <c r="HD3" s="8"/>
      <c r="HE3" s="8"/>
      <c r="HF3" s="8"/>
      <c r="HI3" s="8"/>
      <c r="HK3" s="8"/>
      <c r="HN3" s="8"/>
      <c r="HP3" s="8"/>
      <c r="HS3" s="8"/>
      <c r="HU3" s="8"/>
      <c r="HV3" s="8"/>
      <c r="HW3" s="8"/>
      <c r="HY3" s="8"/>
      <c r="WW3" s="8"/>
      <c r="WY3" s="8"/>
      <c r="WZ3" s="8"/>
      <c r="XA3" s="8"/>
      <c r="XC3" s="8"/>
    </row>
    <row r="4" spans="1:629" s="5" customFormat="1" ht="30.6" thickBot="1" x14ac:dyDescent="0.35">
      <c r="A4" s="695" t="s">
        <v>374</v>
      </c>
      <c r="B4" s="695"/>
      <c r="C4" s="695"/>
      <c r="D4" s="695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8"/>
      <c r="X4" s="4"/>
      <c r="Y4" s="4"/>
      <c r="Z4" s="4"/>
      <c r="AA4" s="4"/>
      <c r="AB4" s="4"/>
      <c r="AC4" s="4"/>
      <c r="AD4" s="4"/>
      <c r="AE4" s="4"/>
      <c r="AF4" s="4"/>
      <c r="AG4" s="4"/>
      <c r="AH4" s="4"/>
      <c r="AI4" s="4"/>
      <c r="AJ4" s="4"/>
      <c r="AK4" s="4"/>
      <c r="AL4" s="4"/>
      <c r="AM4" s="4"/>
      <c r="AN4" s="4"/>
      <c r="AO4" s="4"/>
      <c r="AP4" s="4"/>
      <c r="AQ4" s="4"/>
      <c r="AR4" s="4"/>
      <c r="AS4" s="4"/>
      <c r="AT4" s="4"/>
      <c r="AU4" s="4"/>
      <c r="AV4" s="4"/>
      <c r="AW4" s="4"/>
      <c r="AX4" s="4"/>
      <c r="AY4" s="4"/>
      <c r="AZ4" s="4"/>
      <c r="BA4" s="4"/>
      <c r="BB4" s="4"/>
      <c r="BC4" s="4"/>
      <c r="BD4" s="4"/>
      <c r="BE4" s="4"/>
      <c r="BF4" s="4"/>
      <c r="BG4" s="4"/>
      <c r="BH4" s="4"/>
      <c r="BI4" s="4"/>
      <c r="BJ4" s="4"/>
      <c r="BK4" s="4"/>
      <c r="BL4" s="4"/>
      <c r="BM4" s="4"/>
      <c r="BN4" s="4"/>
      <c r="BO4" s="4"/>
      <c r="BP4" s="4"/>
      <c r="BQ4" s="4"/>
      <c r="BR4" s="4"/>
      <c r="BS4" s="4"/>
      <c r="BT4" s="4"/>
      <c r="BU4" s="4"/>
      <c r="BV4" s="4"/>
      <c r="BW4" s="4"/>
      <c r="BX4" s="4"/>
      <c r="BY4" s="4"/>
      <c r="BZ4" s="4"/>
      <c r="CA4" s="4"/>
      <c r="CB4" s="4"/>
      <c r="CC4" s="4"/>
      <c r="CD4" s="4"/>
      <c r="CE4" s="4"/>
      <c r="CF4" s="4"/>
      <c r="CG4" s="4"/>
      <c r="CH4" s="4"/>
      <c r="CI4" s="4"/>
      <c r="CJ4" s="4"/>
      <c r="CK4" s="4"/>
      <c r="CL4" s="4"/>
      <c r="CM4" s="4"/>
      <c r="CN4" s="4"/>
      <c r="CO4" s="4"/>
      <c r="CP4" s="4"/>
      <c r="CQ4" s="4"/>
      <c r="CR4" s="4"/>
      <c r="CS4" s="4"/>
      <c r="CT4" s="4"/>
      <c r="CU4" s="4"/>
      <c r="CV4" s="4"/>
      <c r="CW4" s="4"/>
      <c r="CX4" s="4"/>
      <c r="CY4" s="4"/>
      <c r="CZ4" s="4"/>
      <c r="DA4" s="4"/>
      <c r="DB4" s="4"/>
      <c r="DC4" s="4"/>
      <c r="DD4" s="4"/>
      <c r="DE4" s="4"/>
      <c r="DF4" s="4"/>
      <c r="DG4" s="4"/>
      <c r="DH4" s="4"/>
      <c r="DI4" s="4"/>
      <c r="DJ4" s="4"/>
      <c r="DK4" s="4"/>
      <c r="DL4" s="4"/>
      <c r="DM4" s="4"/>
      <c r="DN4" s="4" t="s">
        <v>361</v>
      </c>
      <c r="DO4" s="4"/>
      <c r="DP4" s="4"/>
      <c r="DQ4" s="4"/>
      <c r="DR4" s="4"/>
      <c r="DS4" s="4"/>
      <c r="DT4" s="4"/>
      <c r="DU4" s="4"/>
      <c r="DV4" s="4"/>
      <c r="DW4" s="4"/>
      <c r="DX4" s="4"/>
      <c r="DY4" s="4"/>
      <c r="DZ4" s="4"/>
      <c r="EA4" s="4"/>
      <c r="EB4" s="4"/>
      <c r="EC4" s="4"/>
      <c r="ED4" s="4"/>
      <c r="EE4" s="4"/>
      <c r="EF4" s="4"/>
      <c r="EG4" s="4"/>
      <c r="EH4" s="4"/>
      <c r="EI4" s="4"/>
      <c r="EJ4" s="4"/>
      <c r="EK4" s="4"/>
      <c r="EL4" s="4"/>
      <c r="EM4" s="4"/>
      <c r="EN4" s="4"/>
      <c r="EO4" s="4"/>
      <c r="EP4" s="4"/>
      <c r="EQ4" s="4"/>
      <c r="ER4" s="4"/>
      <c r="ES4" s="4"/>
      <c r="ET4" s="4"/>
      <c r="EU4" s="4"/>
      <c r="EV4" s="4"/>
      <c r="EW4" s="4"/>
      <c r="EX4" s="4"/>
      <c r="EY4" s="4"/>
      <c r="EZ4" s="4"/>
      <c r="FA4" s="4"/>
      <c r="FB4" s="4"/>
      <c r="FC4" s="4"/>
      <c r="FD4" s="4"/>
      <c r="FE4" s="4"/>
      <c r="FF4" s="4"/>
      <c r="FG4" s="4"/>
      <c r="FH4" s="4"/>
      <c r="FI4" s="4"/>
      <c r="FJ4" s="4"/>
      <c r="FK4" s="4"/>
      <c r="FL4" s="4"/>
      <c r="FM4" s="4"/>
      <c r="FN4" s="4"/>
      <c r="FO4" s="4"/>
      <c r="FP4" s="4"/>
      <c r="FQ4" s="4"/>
      <c r="FR4" s="4"/>
      <c r="FS4" s="4"/>
      <c r="FT4" s="4"/>
      <c r="FU4" s="4"/>
      <c r="FV4" s="4"/>
      <c r="FW4" s="4"/>
      <c r="FX4" s="4"/>
      <c r="FY4" s="4"/>
      <c r="FZ4" s="4"/>
      <c r="GA4" s="4"/>
      <c r="GB4" s="4"/>
      <c r="GC4" s="4"/>
      <c r="GD4" s="4"/>
      <c r="GE4" s="4"/>
      <c r="GF4" s="4"/>
      <c r="GG4" s="4"/>
      <c r="GH4" s="4"/>
      <c r="GI4" s="4"/>
      <c r="GJ4" s="4"/>
      <c r="GK4" s="4"/>
      <c r="GL4" s="4"/>
      <c r="GM4" s="4"/>
      <c r="GN4" s="4"/>
      <c r="GO4" s="4"/>
      <c r="GP4" s="4"/>
      <c r="GQ4" s="4"/>
      <c r="GR4" s="4"/>
      <c r="GS4" s="7"/>
      <c r="GT4" s="4" t="s">
        <v>361</v>
      </c>
      <c r="GU4" s="4"/>
      <c r="GV4" s="4"/>
      <c r="GW4" s="4"/>
      <c r="GX4" s="8"/>
      <c r="GY4" s="8"/>
      <c r="GZ4" s="8"/>
      <c r="HA4" s="8"/>
      <c r="HB4" s="8"/>
      <c r="HC4" s="8"/>
      <c r="HD4" s="8"/>
      <c r="HE4" s="8"/>
      <c r="HF4" s="8"/>
      <c r="HI4" s="8"/>
      <c r="HK4" s="8"/>
      <c r="HN4" s="8"/>
      <c r="HP4" s="8"/>
      <c r="HS4" s="8"/>
      <c r="HU4" s="8"/>
      <c r="HV4" s="8"/>
      <c r="HW4" s="8"/>
      <c r="HY4" s="8"/>
      <c r="WW4" s="8"/>
      <c r="WY4" s="8"/>
      <c r="WZ4" s="8"/>
      <c r="XA4" s="8"/>
      <c r="XC4" s="8"/>
    </row>
    <row r="5" spans="1:629" s="5" customFormat="1" ht="30.6" thickBot="1" x14ac:dyDescent="0.35">
      <c r="A5" s="4" t="s">
        <v>0</v>
      </c>
      <c r="B5" s="4"/>
      <c r="C5" s="4"/>
      <c r="D5" s="4"/>
      <c r="E5" s="4"/>
      <c r="F5" s="4"/>
      <c r="G5" s="4"/>
      <c r="H5" s="109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  <c r="AB5" s="4"/>
      <c r="AC5" s="4"/>
      <c r="AD5" s="4"/>
      <c r="AE5" s="4"/>
      <c r="AF5" s="4"/>
      <c r="AG5" s="4"/>
      <c r="AH5" s="4"/>
      <c r="AI5" s="4"/>
      <c r="AJ5" s="4"/>
      <c r="AK5" s="4"/>
      <c r="AL5" s="4"/>
      <c r="AM5" s="4"/>
      <c r="AN5" s="4"/>
      <c r="AO5" s="4"/>
      <c r="AP5" s="4"/>
      <c r="AQ5" s="4"/>
      <c r="AR5" s="4"/>
      <c r="AS5" s="4"/>
      <c r="AT5" s="4"/>
      <c r="AU5" s="4"/>
      <c r="AV5" s="4"/>
      <c r="AW5" s="4"/>
      <c r="AX5" s="4"/>
      <c r="AY5" s="4"/>
      <c r="AZ5" s="4"/>
      <c r="BA5" s="4"/>
      <c r="BB5" s="4"/>
      <c r="BC5" s="4"/>
      <c r="BD5" s="4"/>
      <c r="BE5" s="4"/>
      <c r="BF5" s="4"/>
      <c r="BG5" s="4"/>
      <c r="BH5" s="4"/>
      <c r="BI5" s="4"/>
      <c r="BJ5" s="4"/>
      <c r="BK5" s="4"/>
      <c r="BL5" s="4"/>
      <c r="BM5" s="4"/>
      <c r="BN5" s="4"/>
      <c r="BO5" s="4"/>
      <c r="BP5" s="4"/>
      <c r="BQ5" s="4"/>
      <c r="BR5" s="4"/>
      <c r="BS5" s="4"/>
      <c r="BT5" s="4"/>
      <c r="BU5" s="4"/>
      <c r="BV5" s="4"/>
      <c r="BW5" s="4"/>
      <c r="BX5" s="4"/>
      <c r="BY5" s="4"/>
      <c r="BZ5" s="4"/>
      <c r="CA5" s="4"/>
      <c r="CB5" s="4"/>
      <c r="CC5" s="4"/>
      <c r="CD5" s="4"/>
      <c r="CE5" s="4"/>
      <c r="CF5" s="4"/>
      <c r="CG5" s="4"/>
      <c r="CH5" s="4"/>
      <c r="CI5" s="4"/>
      <c r="CJ5" s="4"/>
      <c r="CK5" s="4"/>
      <c r="CL5" s="4"/>
      <c r="CM5" s="4"/>
      <c r="CN5" s="4"/>
      <c r="CO5" s="4"/>
      <c r="CP5" s="4"/>
      <c r="CQ5" s="4"/>
      <c r="CR5" s="4"/>
      <c r="CS5" s="4"/>
      <c r="CT5" s="4"/>
      <c r="CU5" s="4"/>
      <c r="CV5" s="4"/>
      <c r="CW5" s="4"/>
      <c r="CX5" s="4"/>
      <c r="CY5" s="4"/>
      <c r="CZ5" s="4"/>
      <c r="DA5" s="4"/>
      <c r="DB5" s="4"/>
      <c r="DC5" s="4"/>
      <c r="DD5" s="4"/>
      <c r="DE5" s="4"/>
      <c r="DF5" s="4"/>
      <c r="DG5" s="4"/>
      <c r="DH5" s="4"/>
      <c r="DI5" s="4"/>
      <c r="DJ5" s="4"/>
      <c r="DK5" s="4"/>
      <c r="DL5" s="4"/>
      <c r="DM5" s="4"/>
      <c r="DN5" s="4" t="s">
        <v>1</v>
      </c>
      <c r="DO5" s="4"/>
      <c r="DP5" s="4"/>
      <c r="DQ5" s="4"/>
      <c r="DR5" s="4"/>
      <c r="DS5" s="4"/>
      <c r="DU5" s="4"/>
      <c r="DV5" s="4"/>
      <c r="DW5" s="4"/>
      <c r="DX5" s="4"/>
      <c r="DY5" s="4"/>
      <c r="DZ5" s="4"/>
      <c r="EA5" s="4"/>
      <c r="EB5" s="4"/>
      <c r="EC5" s="4"/>
      <c r="ED5" s="4"/>
      <c r="EE5" s="4"/>
      <c r="EF5" s="4"/>
      <c r="EG5" s="4"/>
      <c r="EH5" s="4"/>
      <c r="EI5" s="4"/>
      <c r="EJ5" s="4"/>
      <c r="EK5" s="4"/>
      <c r="EL5" s="4"/>
      <c r="EM5" s="4"/>
      <c r="EN5" s="4"/>
      <c r="EO5" s="4"/>
      <c r="EP5" s="4"/>
      <c r="EQ5" s="4"/>
      <c r="ER5" s="4"/>
      <c r="ES5" s="4"/>
      <c r="ET5" s="4"/>
      <c r="EU5" s="4"/>
      <c r="EV5" s="4"/>
      <c r="EW5" s="4"/>
      <c r="EX5" s="4"/>
      <c r="EY5" s="4"/>
      <c r="EZ5" s="4"/>
      <c r="FA5" s="4"/>
      <c r="FB5" s="4"/>
      <c r="FC5" s="4"/>
      <c r="FD5" s="4"/>
      <c r="FE5" s="4"/>
      <c r="FF5" s="4"/>
      <c r="FG5" s="4"/>
      <c r="FH5" s="4"/>
      <c r="FI5" s="4"/>
      <c r="FJ5" s="4"/>
      <c r="FK5" s="4"/>
      <c r="FL5" s="4"/>
      <c r="FM5" s="4"/>
      <c r="FN5" s="4"/>
      <c r="FO5" s="4"/>
      <c r="FP5" s="4"/>
      <c r="FQ5" s="4"/>
      <c r="FR5" s="4"/>
      <c r="FS5" s="4"/>
      <c r="FT5" s="4"/>
      <c r="FU5" s="4"/>
      <c r="FV5" s="4"/>
      <c r="FW5" s="4"/>
      <c r="FX5" s="4"/>
      <c r="FY5" s="4"/>
      <c r="FZ5" s="4"/>
      <c r="GA5" s="4"/>
      <c r="GB5" s="4"/>
      <c r="GC5" s="4"/>
      <c r="GD5" s="4"/>
      <c r="GE5" s="4"/>
      <c r="GF5" s="4"/>
      <c r="GG5" s="4"/>
      <c r="GH5" s="4"/>
      <c r="GI5" s="4"/>
      <c r="GJ5" s="4"/>
      <c r="GK5" s="4"/>
      <c r="GL5" s="4"/>
      <c r="GM5" s="4"/>
      <c r="GN5" s="4"/>
      <c r="GO5" s="4"/>
      <c r="GP5" s="4"/>
      <c r="GQ5" s="4"/>
      <c r="GR5" s="4"/>
      <c r="GS5" s="7"/>
      <c r="GT5" s="6" t="s">
        <v>2</v>
      </c>
      <c r="GU5" s="8"/>
      <c r="GV5" s="620" t="s">
        <v>355</v>
      </c>
      <c r="GW5" s="621"/>
      <c r="GX5" s="621"/>
      <c r="GY5" s="621"/>
      <c r="GZ5" s="621"/>
      <c r="HA5" s="621"/>
      <c r="HB5" s="621"/>
      <c r="HC5" s="621"/>
      <c r="HD5" s="621"/>
      <c r="HE5" s="621"/>
      <c r="HF5" s="622"/>
      <c r="HG5" s="626" t="s">
        <v>353</v>
      </c>
      <c r="HH5" s="627"/>
      <c r="HI5" s="627"/>
      <c r="HJ5" s="627"/>
      <c r="HK5" s="628"/>
      <c r="HL5" s="632" t="s">
        <v>356</v>
      </c>
      <c r="HM5" s="633"/>
      <c r="HN5" s="633"/>
      <c r="HO5" s="633"/>
      <c r="HP5" s="634"/>
      <c r="HQ5" s="566" t="s">
        <v>357</v>
      </c>
      <c r="HR5" s="567"/>
      <c r="HS5" s="567"/>
      <c r="HT5" s="567"/>
      <c r="HU5" s="567"/>
      <c r="HV5" s="567"/>
      <c r="HW5" s="567"/>
      <c r="HX5" s="567"/>
      <c r="HY5" s="568"/>
      <c r="HZ5" s="572" t="s">
        <v>3</v>
      </c>
      <c r="IA5" s="573"/>
      <c r="IB5" s="573"/>
      <c r="IC5" s="573"/>
      <c r="ID5" s="573"/>
      <c r="IE5" s="573"/>
      <c r="IF5" s="573"/>
      <c r="IG5" s="573"/>
      <c r="IH5" s="573"/>
      <c r="II5" s="573"/>
      <c r="IJ5" s="573"/>
      <c r="IK5" s="573"/>
      <c r="IL5" s="573"/>
      <c r="IM5" s="573"/>
      <c r="IN5" s="573"/>
      <c r="IO5" s="573"/>
      <c r="IP5" s="573"/>
      <c r="IQ5" s="573"/>
      <c r="IR5" s="573"/>
      <c r="IS5" s="573"/>
      <c r="IT5" s="573"/>
      <c r="IU5" s="573"/>
      <c r="IV5" s="573"/>
      <c r="IW5" s="573"/>
      <c r="IX5" s="573"/>
      <c r="IY5" s="573"/>
      <c r="IZ5" s="573"/>
      <c r="JA5" s="573"/>
      <c r="JB5" s="573"/>
      <c r="JC5" s="573"/>
      <c r="JD5" s="573"/>
      <c r="JE5" s="573"/>
      <c r="JF5" s="573"/>
      <c r="JG5" s="573"/>
      <c r="JH5" s="573"/>
      <c r="JI5" s="573"/>
      <c r="JJ5" s="573"/>
      <c r="JK5" s="573"/>
      <c r="JL5" s="573"/>
      <c r="JM5" s="573"/>
      <c r="JN5" s="573"/>
      <c r="JO5" s="573"/>
      <c r="JP5" s="573"/>
      <c r="JQ5" s="573"/>
      <c r="JR5" s="573"/>
      <c r="JS5" s="573"/>
      <c r="JT5" s="573"/>
      <c r="JU5" s="573"/>
      <c r="JV5" s="573"/>
      <c r="JW5" s="573"/>
      <c r="JX5" s="573"/>
      <c r="JY5" s="573"/>
      <c r="JZ5" s="573"/>
      <c r="KA5" s="573"/>
      <c r="KB5" s="573"/>
      <c r="KC5" s="573"/>
      <c r="KD5" s="573"/>
      <c r="KE5" s="573"/>
      <c r="KF5" s="573"/>
      <c r="KG5" s="573"/>
      <c r="KH5" s="573"/>
      <c r="KI5" s="573"/>
      <c r="KJ5" s="573"/>
      <c r="KK5" s="573"/>
      <c r="KL5" s="573"/>
      <c r="KM5" s="573"/>
      <c r="KN5" s="573"/>
      <c r="KO5" s="573"/>
      <c r="KP5" s="573"/>
      <c r="KQ5" s="573"/>
      <c r="KR5" s="573"/>
      <c r="KS5" s="573"/>
      <c r="KT5" s="573"/>
      <c r="KU5" s="573"/>
      <c r="KV5" s="573"/>
      <c r="KW5" s="573"/>
      <c r="KX5" s="573"/>
      <c r="KY5" s="573"/>
      <c r="KZ5" s="573"/>
      <c r="LA5" s="573"/>
      <c r="LB5" s="573"/>
      <c r="LC5" s="573"/>
      <c r="LD5" s="573"/>
      <c r="LE5" s="573"/>
      <c r="LF5" s="573"/>
      <c r="LG5" s="573"/>
      <c r="LH5" s="573"/>
      <c r="LI5" s="573"/>
      <c r="LJ5" s="573"/>
      <c r="LK5" s="573"/>
      <c r="LL5" s="573"/>
      <c r="LM5" s="573"/>
      <c r="LN5" s="573"/>
      <c r="LO5" s="573"/>
      <c r="LP5" s="573"/>
      <c r="LQ5" s="573"/>
      <c r="LR5" s="573"/>
      <c r="LS5" s="573"/>
      <c r="LT5" s="573"/>
      <c r="LU5" s="573"/>
      <c r="LV5" s="573"/>
      <c r="LW5" s="574"/>
      <c r="LX5" s="575" t="s">
        <v>4</v>
      </c>
      <c r="LY5" s="576"/>
      <c r="LZ5" s="576"/>
      <c r="MA5" s="576"/>
      <c r="MB5" s="576"/>
      <c r="MC5" s="576"/>
      <c r="MD5" s="576"/>
      <c r="ME5" s="576"/>
      <c r="MF5" s="576"/>
      <c r="MG5" s="576"/>
      <c r="MH5" s="576"/>
      <c r="MI5" s="576"/>
      <c r="MJ5" s="576"/>
      <c r="MK5" s="576"/>
      <c r="ML5" s="576"/>
      <c r="MM5" s="576"/>
      <c r="MN5" s="576"/>
      <c r="MO5" s="576"/>
      <c r="MP5" s="576"/>
      <c r="MQ5" s="576"/>
      <c r="MR5" s="576"/>
      <c r="MS5" s="576"/>
      <c r="MT5" s="576"/>
      <c r="MU5" s="576"/>
      <c r="MV5" s="576"/>
      <c r="MW5" s="576"/>
      <c r="MX5" s="576"/>
      <c r="MY5" s="576"/>
      <c r="MZ5" s="576"/>
      <c r="NA5" s="576"/>
      <c r="NB5" s="576"/>
      <c r="NC5" s="576"/>
      <c r="ND5" s="576"/>
      <c r="NE5" s="576"/>
      <c r="NF5" s="576"/>
      <c r="NG5" s="576"/>
      <c r="NH5" s="576"/>
      <c r="NI5" s="576"/>
      <c r="NJ5" s="576"/>
      <c r="NK5" s="576"/>
      <c r="NL5" s="576"/>
      <c r="NM5" s="576"/>
      <c r="NN5" s="576"/>
      <c r="NO5" s="576"/>
      <c r="NP5" s="576"/>
      <c r="NQ5" s="576"/>
      <c r="NR5" s="576"/>
      <c r="NS5" s="576"/>
      <c r="NT5" s="576"/>
      <c r="NU5" s="576"/>
      <c r="NV5" s="576"/>
      <c r="NW5" s="576"/>
      <c r="NX5" s="576"/>
      <c r="NY5" s="576"/>
      <c r="NZ5" s="576"/>
      <c r="OA5" s="576"/>
      <c r="OB5" s="576"/>
      <c r="OC5" s="576"/>
      <c r="OD5" s="576"/>
      <c r="OE5" s="576"/>
      <c r="OF5" s="576"/>
      <c r="OG5" s="576"/>
      <c r="OH5" s="576"/>
      <c r="OI5" s="576"/>
      <c r="OJ5" s="576"/>
      <c r="OK5" s="576"/>
      <c r="OL5" s="576"/>
      <c r="OM5" s="576"/>
      <c r="ON5" s="576"/>
      <c r="OO5" s="576"/>
      <c r="OP5" s="576"/>
      <c r="OQ5" s="576"/>
      <c r="OR5" s="576"/>
      <c r="OS5" s="576"/>
      <c r="OT5" s="576"/>
      <c r="OU5" s="576"/>
      <c r="OV5" s="576"/>
      <c r="OW5" s="576"/>
      <c r="OX5" s="576"/>
      <c r="OY5" s="576"/>
      <c r="OZ5" s="576"/>
      <c r="PA5" s="576"/>
      <c r="PB5" s="576"/>
      <c r="PC5" s="576"/>
      <c r="PD5" s="576"/>
      <c r="PE5" s="576"/>
      <c r="PF5" s="576"/>
      <c r="PG5" s="576"/>
      <c r="PH5" s="576"/>
      <c r="PI5" s="576"/>
      <c r="PJ5" s="576"/>
      <c r="PK5" s="576"/>
      <c r="PL5" s="576"/>
      <c r="PM5" s="576"/>
      <c r="PN5" s="576"/>
      <c r="PO5" s="576"/>
      <c r="PP5" s="576"/>
      <c r="PQ5" s="576"/>
      <c r="PR5" s="576"/>
      <c r="PS5" s="576"/>
      <c r="PT5" s="576"/>
      <c r="PU5" s="577"/>
      <c r="PV5" s="588" t="s">
        <v>5</v>
      </c>
      <c r="PW5" s="589"/>
      <c r="PX5" s="589"/>
      <c r="PY5" s="589"/>
      <c r="PZ5" s="589"/>
      <c r="QA5" s="589"/>
      <c r="QB5" s="589"/>
      <c r="QC5" s="589"/>
      <c r="QD5" s="589"/>
      <c r="QE5" s="589"/>
      <c r="QF5" s="589"/>
      <c r="QG5" s="589"/>
      <c r="QH5" s="589"/>
      <c r="QI5" s="589"/>
      <c r="QJ5" s="589"/>
      <c r="QK5" s="589"/>
      <c r="QL5" s="589"/>
      <c r="QM5" s="590"/>
      <c r="QN5" s="588" t="s">
        <v>6</v>
      </c>
      <c r="QO5" s="589"/>
      <c r="QP5" s="589"/>
      <c r="QQ5" s="589"/>
      <c r="QR5" s="589"/>
      <c r="QS5" s="590"/>
      <c r="QT5" s="594" t="s">
        <v>7</v>
      </c>
      <c r="QU5" s="595"/>
      <c r="QV5" s="595"/>
      <c r="QW5" s="595"/>
      <c r="QX5" s="595"/>
      <c r="QY5" s="595"/>
      <c r="QZ5" s="595"/>
      <c r="RA5" s="595"/>
      <c r="RB5" s="595"/>
      <c r="RC5" s="595"/>
      <c r="RD5" s="595"/>
      <c r="RE5" s="595"/>
      <c r="RF5" s="595"/>
      <c r="RG5" s="595"/>
      <c r="RH5" s="595"/>
      <c r="RI5" s="595"/>
      <c r="RJ5" s="595"/>
      <c r="RK5" s="595"/>
      <c r="RL5" s="595"/>
      <c r="RM5" s="595"/>
      <c r="RN5" s="595"/>
      <c r="RO5" s="595"/>
      <c r="RP5" s="595"/>
      <c r="RQ5" s="595"/>
      <c r="RR5" s="595"/>
      <c r="RS5" s="595"/>
      <c r="RT5" s="595"/>
      <c r="RU5" s="595"/>
      <c r="RV5" s="595"/>
      <c r="RW5" s="595"/>
      <c r="RX5" s="595"/>
      <c r="RY5" s="595"/>
      <c r="RZ5" s="595"/>
      <c r="SA5" s="595"/>
      <c r="SB5" s="595"/>
      <c r="SC5" s="595"/>
      <c r="SD5" s="595"/>
      <c r="SE5" s="595"/>
      <c r="SF5" s="595"/>
      <c r="SG5" s="595"/>
      <c r="SH5" s="595"/>
      <c r="SI5" s="595"/>
      <c r="SJ5" s="595"/>
      <c r="SK5" s="595"/>
      <c r="SL5" s="595"/>
      <c r="SM5" s="595"/>
      <c r="SN5" s="595"/>
      <c r="SO5" s="595"/>
      <c r="SP5" s="595"/>
      <c r="SQ5" s="595"/>
      <c r="SR5" s="595"/>
      <c r="SS5" s="595"/>
      <c r="ST5" s="595"/>
      <c r="SU5" s="595"/>
      <c r="SV5" s="595"/>
      <c r="SW5" s="595"/>
      <c r="SX5" s="595"/>
      <c r="SY5" s="595"/>
      <c r="SZ5" s="595"/>
      <c r="TA5" s="595"/>
      <c r="TB5" s="595"/>
      <c r="TC5" s="595"/>
      <c r="TD5" s="595"/>
      <c r="TE5" s="595"/>
      <c r="TF5" s="595"/>
      <c r="TG5" s="595"/>
      <c r="TH5" s="595"/>
      <c r="TI5" s="595"/>
      <c r="TJ5" s="595"/>
      <c r="TK5" s="595"/>
      <c r="TL5" s="595"/>
      <c r="TM5" s="595"/>
      <c r="TN5" s="595"/>
      <c r="TO5" s="595"/>
      <c r="TP5" s="595"/>
      <c r="TQ5" s="595"/>
      <c r="TR5" s="595"/>
      <c r="TS5" s="595"/>
      <c r="TT5" s="595"/>
      <c r="TU5" s="595"/>
      <c r="TV5" s="596"/>
      <c r="TW5" s="600" t="s">
        <v>8</v>
      </c>
      <c r="TX5" s="601"/>
      <c r="TY5" s="601"/>
      <c r="TZ5" s="601"/>
      <c r="UA5" s="601"/>
      <c r="UB5" s="602"/>
      <c r="UC5" s="588" t="s">
        <v>9</v>
      </c>
      <c r="UD5" s="589"/>
      <c r="UE5" s="589"/>
      <c r="UF5" s="589"/>
      <c r="UG5" s="589"/>
      <c r="UH5" s="589"/>
      <c r="UI5" s="589"/>
      <c r="UJ5" s="589"/>
      <c r="UK5" s="589"/>
      <c r="UL5" s="589"/>
      <c r="UM5" s="589"/>
      <c r="UN5" s="589"/>
      <c r="UO5" s="589"/>
      <c r="UP5" s="589"/>
      <c r="UQ5" s="589"/>
      <c r="UR5" s="589"/>
      <c r="US5" s="589"/>
      <c r="UT5" s="589"/>
      <c r="UU5" s="589"/>
      <c r="UV5" s="589"/>
      <c r="UW5" s="589"/>
      <c r="UX5" s="589"/>
      <c r="UY5" s="589"/>
      <c r="UZ5" s="589"/>
      <c r="VA5" s="589"/>
      <c r="VB5" s="589"/>
      <c r="VC5" s="589"/>
      <c r="VD5" s="589"/>
      <c r="VE5" s="589"/>
      <c r="VF5" s="589"/>
      <c r="VG5" s="589"/>
      <c r="VH5" s="589"/>
      <c r="VI5" s="589"/>
      <c r="VJ5" s="589"/>
      <c r="VK5" s="589"/>
      <c r="VL5" s="589"/>
      <c r="VM5" s="589"/>
      <c r="VN5" s="589"/>
      <c r="VO5" s="589"/>
      <c r="VP5" s="589"/>
      <c r="VQ5" s="589"/>
      <c r="VR5" s="589"/>
      <c r="VS5" s="589"/>
      <c r="VT5" s="589"/>
      <c r="VU5" s="589"/>
      <c r="VV5" s="589"/>
      <c r="VW5" s="589"/>
      <c r="VX5" s="589"/>
      <c r="VY5" s="589"/>
      <c r="VZ5" s="589"/>
      <c r="WA5" s="589"/>
      <c r="WB5" s="589"/>
      <c r="WC5" s="589"/>
      <c r="WD5" s="589"/>
      <c r="WE5" s="589"/>
      <c r="WF5" s="589"/>
      <c r="WG5" s="589"/>
      <c r="WH5" s="589"/>
      <c r="WI5" s="589"/>
      <c r="WJ5" s="589"/>
      <c r="WK5" s="589"/>
      <c r="WL5" s="589"/>
      <c r="WM5" s="589"/>
      <c r="WN5" s="589"/>
      <c r="WO5" s="589"/>
      <c r="WP5" s="590"/>
      <c r="WQ5" s="600" t="s">
        <v>10</v>
      </c>
      <c r="WR5" s="606"/>
      <c r="WS5" s="606"/>
      <c r="WT5" s="606"/>
      <c r="WU5" s="606"/>
      <c r="WV5" s="607"/>
      <c r="WW5" s="578" t="s">
        <v>354</v>
      </c>
      <c r="WX5" s="579"/>
      <c r="WY5" s="579"/>
      <c r="WZ5" s="579"/>
      <c r="XA5" s="579"/>
      <c r="XB5" s="579"/>
      <c r="XC5" s="580"/>
    </row>
    <row r="6" spans="1:629" s="5" customFormat="1" ht="30.6" thickBot="1" x14ac:dyDescent="0.35">
      <c r="A6" s="9"/>
      <c r="B6" s="10"/>
      <c r="C6" s="10"/>
      <c r="D6" s="10"/>
      <c r="E6" s="10"/>
      <c r="F6" s="10"/>
      <c r="G6" s="10"/>
      <c r="H6" s="10"/>
      <c r="I6" s="10"/>
      <c r="J6" s="10"/>
      <c r="K6" s="10" t="s">
        <v>370</v>
      </c>
      <c r="L6" s="10"/>
      <c r="M6" s="10"/>
      <c r="N6" s="10"/>
      <c r="O6" s="10"/>
      <c r="P6" s="10"/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  <c r="AD6" s="10"/>
      <c r="AE6" s="10"/>
      <c r="AF6" s="10"/>
      <c r="AG6" s="10"/>
      <c r="AH6" s="10"/>
      <c r="AI6" s="10"/>
      <c r="AJ6" s="10"/>
      <c r="AK6" s="10"/>
      <c r="AL6" s="10"/>
      <c r="AM6" s="10"/>
      <c r="AN6" s="10"/>
      <c r="AO6" s="10"/>
      <c r="AP6" s="10"/>
      <c r="AQ6" s="10"/>
      <c r="AR6" s="10"/>
      <c r="AS6" s="10"/>
      <c r="AT6" s="10"/>
      <c r="AU6" s="10"/>
      <c r="AV6" s="10"/>
      <c r="AW6" s="10"/>
      <c r="AX6" s="10"/>
      <c r="AY6" s="10"/>
      <c r="AZ6" s="10"/>
      <c r="BA6" s="10"/>
      <c r="BB6" s="10"/>
      <c r="BC6" s="10"/>
      <c r="BD6" s="10"/>
      <c r="BE6" s="10"/>
      <c r="BF6" s="10"/>
      <c r="BG6" s="10"/>
      <c r="BH6" s="10"/>
      <c r="BI6" s="10"/>
      <c r="BJ6" s="10"/>
      <c r="BK6" s="10"/>
      <c r="BL6" s="10"/>
      <c r="BM6" s="10"/>
      <c r="BN6" s="10"/>
      <c r="BO6" s="10"/>
      <c r="BP6" s="10"/>
      <c r="BQ6" s="10"/>
      <c r="BR6" s="10"/>
      <c r="BS6" s="10"/>
      <c r="BT6" s="10"/>
      <c r="BU6" s="10"/>
      <c r="BV6" s="10"/>
      <c r="BW6" s="10"/>
      <c r="BX6" s="10"/>
      <c r="BY6" s="10"/>
      <c r="BZ6" s="10"/>
      <c r="CA6" s="10"/>
      <c r="CB6" s="10"/>
      <c r="CC6" s="10"/>
      <c r="CD6" s="10"/>
      <c r="CE6" s="10"/>
      <c r="CF6" s="10"/>
      <c r="CG6" s="10"/>
      <c r="CH6" s="10"/>
      <c r="CI6" s="10"/>
      <c r="CJ6" s="10"/>
      <c r="CK6" s="10"/>
      <c r="CL6" s="10"/>
      <c r="CM6" s="10"/>
      <c r="CN6" s="10"/>
      <c r="CO6" s="10"/>
      <c r="CP6" s="10"/>
      <c r="CQ6" s="10"/>
      <c r="CR6" s="10"/>
      <c r="CS6" s="10"/>
      <c r="CT6" s="10"/>
      <c r="CU6" s="10"/>
      <c r="CV6" s="10"/>
      <c r="CW6" s="10"/>
      <c r="CX6" s="10"/>
      <c r="CY6" s="10"/>
      <c r="CZ6" s="10"/>
      <c r="DA6" s="10"/>
      <c r="DB6" s="10"/>
      <c r="DC6" s="10"/>
      <c r="DD6" s="10"/>
      <c r="DE6" s="10"/>
      <c r="DF6" s="10"/>
      <c r="DG6" s="10"/>
      <c r="DH6" s="10"/>
      <c r="DI6" s="10"/>
      <c r="DJ6" s="10"/>
      <c r="DK6" s="10"/>
      <c r="DL6" s="10"/>
      <c r="DM6" s="8"/>
      <c r="DN6" s="11"/>
      <c r="DO6" s="11"/>
      <c r="DP6" s="11"/>
      <c r="DQ6" s="11"/>
      <c r="DR6" s="11"/>
      <c r="DS6" s="11"/>
      <c r="DT6" s="11"/>
      <c r="DU6" s="11"/>
      <c r="DV6" s="11"/>
      <c r="DW6" s="11"/>
      <c r="DX6" s="11"/>
      <c r="DY6" s="11"/>
      <c r="DZ6" s="11"/>
      <c r="EA6" s="11"/>
      <c r="EB6" s="11"/>
      <c r="EC6" s="11"/>
      <c r="ED6" s="11"/>
      <c r="EE6" s="11"/>
      <c r="EF6" s="11"/>
      <c r="EG6" s="11"/>
      <c r="EH6" s="11"/>
      <c r="EI6" s="11"/>
      <c r="EJ6" s="11"/>
      <c r="EK6" s="11"/>
      <c r="EL6" s="11"/>
      <c r="EM6" s="11"/>
      <c r="EN6" s="11"/>
      <c r="EO6" s="11"/>
      <c r="EP6" s="11"/>
      <c r="EQ6" s="11"/>
      <c r="ER6" s="11"/>
      <c r="ES6" s="11"/>
      <c r="ET6" s="11"/>
      <c r="EU6" s="11"/>
      <c r="EV6" s="11"/>
      <c r="EW6" s="11"/>
      <c r="EX6" s="11"/>
      <c r="EY6" s="11"/>
      <c r="EZ6" s="11"/>
      <c r="FA6" s="11"/>
      <c r="FB6" s="11"/>
      <c r="FC6" s="11"/>
      <c r="FD6" s="11"/>
      <c r="FE6" s="11"/>
      <c r="FF6" s="11"/>
      <c r="FG6" s="11"/>
      <c r="FH6" s="11"/>
      <c r="FI6" s="11"/>
      <c r="FJ6" s="11"/>
      <c r="FK6" s="11"/>
      <c r="FL6" s="11"/>
      <c r="FM6" s="11"/>
      <c r="FN6" s="11"/>
      <c r="FO6" s="11"/>
      <c r="FP6" s="11"/>
      <c r="FQ6" s="11"/>
      <c r="FR6" s="11"/>
      <c r="FS6" s="11"/>
      <c r="FT6" s="11"/>
      <c r="FU6" s="11"/>
      <c r="FV6" s="11"/>
      <c r="FW6" s="11"/>
      <c r="FX6" s="11"/>
      <c r="FY6" s="11"/>
      <c r="FZ6" s="11"/>
      <c r="GA6" s="11"/>
      <c r="GB6" s="11"/>
      <c r="GC6" s="11"/>
      <c r="GD6" s="11"/>
      <c r="GE6" s="11"/>
      <c r="GF6" s="11"/>
      <c r="GG6" s="11"/>
      <c r="GH6" s="11"/>
      <c r="GI6" s="11"/>
      <c r="GJ6" s="11"/>
      <c r="GK6" s="11"/>
      <c r="GL6" s="11"/>
      <c r="GM6" s="11"/>
      <c r="GN6" s="11"/>
      <c r="GO6" s="11"/>
      <c r="GP6" s="11"/>
      <c r="GQ6" s="11"/>
      <c r="GR6" s="11"/>
      <c r="GS6" s="7"/>
      <c r="GU6" s="10"/>
      <c r="GV6" s="623"/>
      <c r="GW6" s="624"/>
      <c r="GX6" s="624"/>
      <c r="GY6" s="624"/>
      <c r="GZ6" s="624"/>
      <c r="HA6" s="624"/>
      <c r="HB6" s="624"/>
      <c r="HC6" s="624"/>
      <c r="HD6" s="624"/>
      <c r="HE6" s="624"/>
      <c r="HF6" s="625"/>
      <c r="HG6" s="629"/>
      <c r="HH6" s="630"/>
      <c r="HI6" s="630"/>
      <c r="HJ6" s="630"/>
      <c r="HK6" s="631"/>
      <c r="HL6" s="635"/>
      <c r="HM6" s="636"/>
      <c r="HN6" s="636"/>
      <c r="HO6" s="636"/>
      <c r="HP6" s="637"/>
      <c r="HQ6" s="569"/>
      <c r="HR6" s="570"/>
      <c r="HS6" s="570"/>
      <c r="HT6" s="570"/>
      <c r="HU6" s="570"/>
      <c r="HV6" s="570"/>
      <c r="HW6" s="570"/>
      <c r="HX6" s="570"/>
      <c r="HY6" s="571"/>
      <c r="HZ6" s="584" t="s">
        <v>11</v>
      </c>
      <c r="IA6" s="585"/>
      <c r="IB6" s="585"/>
      <c r="IC6" s="585"/>
      <c r="ID6" s="585"/>
      <c r="IE6" s="585"/>
      <c r="IF6" s="585"/>
      <c r="IG6" s="585"/>
      <c r="IH6" s="585"/>
      <c r="II6" s="585"/>
      <c r="IJ6" s="585"/>
      <c r="IK6" s="585"/>
      <c r="IL6" s="585"/>
      <c r="IM6" s="585"/>
      <c r="IN6" s="585"/>
      <c r="IO6" s="585"/>
      <c r="IP6" s="585"/>
      <c r="IQ6" s="585"/>
      <c r="IR6" s="585"/>
      <c r="IS6" s="585"/>
      <c r="IT6" s="585"/>
      <c r="IU6" s="585"/>
      <c r="IV6" s="585"/>
      <c r="IW6" s="585"/>
      <c r="IX6" s="585"/>
      <c r="IY6" s="585"/>
      <c r="IZ6" s="585"/>
      <c r="JA6" s="585"/>
      <c r="JB6" s="585"/>
      <c r="JC6" s="585"/>
      <c r="JD6" s="584" t="s">
        <v>12</v>
      </c>
      <c r="JE6" s="585"/>
      <c r="JF6" s="585"/>
      <c r="JG6" s="585"/>
      <c r="JH6" s="585"/>
      <c r="JI6" s="585"/>
      <c r="JJ6" s="585"/>
      <c r="JK6" s="585"/>
      <c r="JL6" s="585"/>
      <c r="JM6" s="585"/>
      <c r="JN6" s="585"/>
      <c r="JO6" s="585"/>
      <c r="JP6" s="585"/>
      <c r="JQ6" s="585"/>
      <c r="JR6" s="585"/>
      <c r="JS6" s="585"/>
      <c r="JT6" s="585"/>
      <c r="JU6" s="585"/>
      <c r="JV6" s="585"/>
      <c r="JW6" s="585"/>
      <c r="JX6" s="585"/>
      <c r="JY6" s="585"/>
      <c r="JZ6" s="585"/>
      <c r="KA6" s="585"/>
      <c r="KB6" s="585"/>
      <c r="KC6" s="585"/>
      <c r="KD6" s="585"/>
      <c r="KE6" s="585"/>
      <c r="KF6" s="585"/>
      <c r="KG6" s="585"/>
      <c r="KH6" s="585"/>
      <c r="KI6" s="585"/>
      <c r="KJ6" s="585"/>
      <c r="KK6" s="585"/>
      <c r="KL6" s="585"/>
      <c r="KM6" s="585"/>
      <c r="KN6" s="584" t="s">
        <v>13</v>
      </c>
      <c r="KO6" s="585"/>
      <c r="KP6" s="585"/>
      <c r="KQ6" s="585"/>
      <c r="KR6" s="585"/>
      <c r="KS6" s="585"/>
      <c r="KT6" s="585"/>
      <c r="KU6" s="585"/>
      <c r="KV6" s="585"/>
      <c r="KW6" s="585"/>
      <c r="KX6" s="585"/>
      <c r="KY6" s="585"/>
      <c r="KZ6" s="585"/>
      <c r="LA6" s="585"/>
      <c r="LB6" s="585"/>
      <c r="LC6" s="585"/>
      <c r="LD6" s="585"/>
      <c r="LE6" s="585"/>
      <c r="LF6" s="585"/>
      <c r="LG6" s="585"/>
      <c r="LH6" s="585"/>
      <c r="LI6" s="585"/>
      <c r="LJ6" s="585"/>
      <c r="LK6" s="585"/>
      <c r="LL6" s="585"/>
      <c r="LM6" s="585"/>
      <c r="LN6" s="585"/>
      <c r="LO6" s="585"/>
      <c r="LP6" s="585"/>
      <c r="LQ6" s="585"/>
      <c r="LR6" s="585"/>
      <c r="LS6" s="585"/>
      <c r="LT6" s="585"/>
      <c r="LU6" s="585"/>
      <c r="LV6" s="585"/>
      <c r="LW6" s="585"/>
      <c r="LX6" s="586" t="s">
        <v>11</v>
      </c>
      <c r="LY6" s="587"/>
      <c r="LZ6" s="587"/>
      <c r="MA6" s="587"/>
      <c r="MB6" s="587"/>
      <c r="MC6" s="587"/>
      <c r="MD6" s="587"/>
      <c r="ME6" s="587"/>
      <c r="MF6" s="587"/>
      <c r="MG6" s="587"/>
      <c r="MH6" s="587"/>
      <c r="MI6" s="587"/>
      <c r="MJ6" s="587"/>
      <c r="MK6" s="587"/>
      <c r="ML6" s="587"/>
      <c r="MM6" s="587"/>
      <c r="MN6" s="587"/>
      <c r="MO6" s="587"/>
      <c r="MP6" s="587"/>
      <c r="MQ6" s="587"/>
      <c r="MR6" s="587"/>
      <c r="MS6" s="587"/>
      <c r="MT6" s="587"/>
      <c r="MU6" s="587"/>
      <c r="MV6" s="587"/>
      <c r="MW6" s="587"/>
      <c r="MX6" s="587"/>
      <c r="MY6" s="587"/>
      <c r="MZ6" s="587"/>
      <c r="NA6" s="587"/>
      <c r="NB6" s="586" t="s">
        <v>12</v>
      </c>
      <c r="NC6" s="587"/>
      <c r="ND6" s="587"/>
      <c r="NE6" s="587"/>
      <c r="NF6" s="587"/>
      <c r="NG6" s="587"/>
      <c r="NH6" s="587"/>
      <c r="NI6" s="587"/>
      <c r="NJ6" s="587"/>
      <c r="NK6" s="587"/>
      <c r="NL6" s="587"/>
      <c r="NM6" s="587"/>
      <c r="NN6" s="587"/>
      <c r="NO6" s="587"/>
      <c r="NP6" s="587"/>
      <c r="NQ6" s="587"/>
      <c r="NR6" s="587"/>
      <c r="NS6" s="587"/>
      <c r="NT6" s="587"/>
      <c r="NU6" s="587"/>
      <c r="NV6" s="587"/>
      <c r="NW6" s="587"/>
      <c r="NX6" s="587"/>
      <c r="NY6" s="587"/>
      <c r="NZ6" s="587"/>
      <c r="OA6" s="587"/>
      <c r="OB6" s="587"/>
      <c r="OC6" s="587"/>
      <c r="OD6" s="587"/>
      <c r="OE6" s="587"/>
      <c r="OF6" s="587"/>
      <c r="OG6" s="587"/>
      <c r="OH6" s="587"/>
      <c r="OI6" s="587"/>
      <c r="OJ6" s="587"/>
      <c r="OK6" s="587"/>
      <c r="OL6" s="586" t="s">
        <v>13</v>
      </c>
      <c r="OM6" s="587"/>
      <c r="ON6" s="587"/>
      <c r="OO6" s="587"/>
      <c r="OP6" s="587"/>
      <c r="OQ6" s="587"/>
      <c r="OR6" s="587"/>
      <c r="OS6" s="587"/>
      <c r="OT6" s="587"/>
      <c r="OU6" s="587"/>
      <c r="OV6" s="587"/>
      <c r="OW6" s="587"/>
      <c r="OX6" s="587"/>
      <c r="OY6" s="587"/>
      <c r="OZ6" s="587"/>
      <c r="PA6" s="587"/>
      <c r="PB6" s="587"/>
      <c r="PC6" s="587"/>
      <c r="PD6" s="587"/>
      <c r="PE6" s="587"/>
      <c r="PF6" s="587"/>
      <c r="PG6" s="587"/>
      <c r="PH6" s="587"/>
      <c r="PI6" s="587"/>
      <c r="PJ6" s="587"/>
      <c r="PK6" s="587"/>
      <c r="PL6" s="587"/>
      <c r="PM6" s="587"/>
      <c r="PN6" s="587"/>
      <c r="PO6" s="587"/>
      <c r="PP6" s="587"/>
      <c r="PQ6" s="587"/>
      <c r="PR6" s="587"/>
      <c r="PS6" s="587"/>
      <c r="PT6" s="587"/>
      <c r="PU6" s="587"/>
      <c r="PV6" s="591"/>
      <c r="PW6" s="592"/>
      <c r="PX6" s="592"/>
      <c r="PY6" s="592"/>
      <c r="PZ6" s="592"/>
      <c r="QA6" s="592"/>
      <c r="QB6" s="592"/>
      <c r="QC6" s="592"/>
      <c r="QD6" s="592"/>
      <c r="QE6" s="592"/>
      <c r="QF6" s="592"/>
      <c r="QG6" s="592"/>
      <c r="QH6" s="592"/>
      <c r="QI6" s="592"/>
      <c r="QJ6" s="592"/>
      <c r="QK6" s="592"/>
      <c r="QL6" s="592"/>
      <c r="QM6" s="593"/>
      <c r="QN6" s="591"/>
      <c r="QO6" s="592"/>
      <c r="QP6" s="592"/>
      <c r="QQ6" s="592"/>
      <c r="QR6" s="592"/>
      <c r="QS6" s="593"/>
      <c r="QT6" s="597"/>
      <c r="QU6" s="598"/>
      <c r="QV6" s="598"/>
      <c r="QW6" s="598"/>
      <c r="QX6" s="598"/>
      <c r="QY6" s="598"/>
      <c r="QZ6" s="598"/>
      <c r="RA6" s="598"/>
      <c r="RB6" s="598"/>
      <c r="RC6" s="598"/>
      <c r="RD6" s="598"/>
      <c r="RE6" s="598"/>
      <c r="RF6" s="598"/>
      <c r="RG6" s="598"/>
      <c r="RH6" s="598"/>
      <c r="RI6" s="598"/>
      <c r="RJ6" s="598"/>
      <c r="RK6" s="598"/>
      <c r="RL6" s="598"/>
      <c r="RM6" s="598"/>
      <c r="RN6" s="598"/>
      <c r="RO6" s="598"/>
      <c r="RP6" s="598"/>
      <c r="RQ6" s="598"/>
      <c r="RR6" s="598"/>
      <c r="RS6" s="598"/>
      <c r="RT6" s="598"/>
      <c r="RU6" s="598"/>
      <c r="RV6" s="598"/>
      <c r="RW6" s="598"/>
      <c r="RX6" s="598"/>
      <c r="RY6" s="598"/>
      <c r="RZ6" s="598"/>
      <c r="SA6" s="598"/>
      <c r="SB6" s="598"/>
      <c r="SC6" s="598"/>
      <c r="SD6" s="598"/>
      <c r="SE6" s="598"/>
      <c r="SF6" s="598"/>
      <c r="SG6" s="598"/>
      <c r="SH6" s="598"/>
      <c r="SI6" s="598"/>
      <c r="SJ6" s="598"/>
      <c r="SK6" s="598"/>
      <c r="SL6" s="598"/>
      <c r="SM6" s="598"/>
      <c r="SN6" s="598"/>
      <c r="SO6" s="598"/>
      <c r="SP6" s="598"/>
      <c r="SQ6" s="598"/>
      <c r="SR6" s="598"/>
      <c r="SS6" s="598"/>
      <c r="ST6" s="598"/>
      <c r="SU6" s="598"/>
      <c r="SV6" s="598"/>
      <c r="SW6" s="598"/>
      <c r="SX6" s="598"/>
      <c r="SY6" s="598"/>
      <c r="SZ6" s="598"/>
      <c r="TA6" s="598"/>
      <c r="TB6" s="598"/>
      <c r="TC6" s="598"/>
      <c r="TD6" s="598"/>
      <c r="TE6" s="598"/>
      <c r="TF6" s="598"/>
      <c r="TG6" s="598"/>
      <c r="TH6" s="598"/>
      <c r="TI6" s="598"/>
      <c r="TJ6" s="598"/>
      <c r="TK6" s="598"/>
      <c r="TL6" s="598"/>
      <c r="TM6" s="598"/>
      <c r="TN6" s="598"/>
      <c r="TO6" s="598"/>
      <c r="TP6" s="598"/>
      <c r="TQ6" s="598"/>
      <c r="TR6" s="598"/>
      <c r="TS6" s="598"/>
      <c r="TT6" s="598"/>
      <c r="TU6" s="598"/>
      <c r="TV6" s="599"/>
      <c r="TW6" s="603"/>
      <c r="TX6" s="604"/>
      <c r="TY6" s="604"/>
      <c r="TZ6" s="604"/>
      <c r="UA6" s="604"/>
      <c r="UB6" s="605"/>
      <c r="UC6" s="591"/>
      <c r="UD6" s="592"/>
      <c r="UE6" s="592"/>
      <c r="UF6" s="592"/>
      <c r="UG6" s="592"/>
      <c r="UH6" s="592"/>
      <c r="UI6" s="592"/>
      <c r="UJ6" s="592"/>
      <c r="UK6" s="592"/>
      <c r="UL6" s="592"/>
      <c r="UM6" s="592"/>
      <c r="UN6" s="592"/>
      <c r="UO6" s="592"/>
      <c r="UP6" s="592"/>
      <c r="UQ6" s="592"/>
      <c r="UR6" s="592"/>
      <c r="US6" s="592"/>
      <c r="UT6" s="592"/>
      <c r="UU6" s="592"/>
      <c r="UV6" s="592"/>
      <c r="UW6" s="592"/>
      <c r="UX6" s="592"/>
      <c r="UY6" s="592"/>
      <c r="UZ6" s="592"/>
      <c r="VA6" s="592"/>
      <c r="VB6" s="592"/>
      <c r="VC6" s="592"/>
      <c r="VD6" s="592"/>
      <c r="VE6" s="592"/>
      <c r="VF6" s="592"/>
      <c r="VG6" s="592"/>
      <c r="VH6" s="592"/>
      <c r="VI6" s="592"/>
      <c r="VJ6" s="592"/>
      <c r="VK6" s="592"/>
      <c r="VL6" s="592"/>
      <c r="VM6" s="592"/>
      <c r="VN6" s="592"/>
      <c r="VO6" s="592"/>
      <c r="VP6" s="592"/>
      <c r="VQ6" s="592"/>
      <c r="VR6" s="592"/>
      <c r="VS6" s="592"/>
      <c r="VT6" s="592"/>
      <c r="VU6" s="592"/>
      <c r="VV6" s="592"/>
      <c r="VW6" s="592"/>
      <c r="VX6" s="592"/>
      <c r="VY6" s="592"/>
      <c r="VZ6" s="592"/>
      <c r="WA6" s="592"/>
      <c r="WB6" s="592"/>
      <c r="WC6" s="592"/>
      <c r="WD6" s="592"/>
      <c r="WE6" s="592"/>
      <c r="WF6" s="592"/>
      <c r="WG6" s="592"/>
      <c r="WH6" s="592"/>
      <c r="WI6" s="592"/>
      <c r="WJ6" s="592"/>
      <c r="WK6" s="592"/>
      <c r="WL6" s="592"/>
      <c r="WM6" s="592"/>
      <c r="WN6" s="592"/>
      <c r="WO6" s="592"/>
      <c r="WP6" s="593"/>
      <c r="WQ6" s="608"/>
      <c r="WR6" s="609"/>
      <c r="WS6" s="609"/>
      <c r="WT6" s="609"/>
      <c r="WU6" s="609"/>
      <c r="WV6" s="610"/>
      <c r="WW6" s="581"/>
      <c r="WX6" s="582"/>
      <c r="WY6" s="582"/>
      <c r="WZ6" s="582"/>
      <c r="XA6" s="582"/>
      <c r="XB6" s="582"/>
      <c r="XC6" s="583"/>
    </row>
    <row r="7" spans="1:629" ht="30.6" thickBot="1" x14ac:dyDescent="0.55000000000000004">
      <c r="A7" s="12"/>
      <c r="B7" s="12"/>
      <c r="C7" s="13"/>
      <c r="D7" s="13"/>
      <c r="E7" s="460"/>
      <c r="F7" s="460"/>
      <c r="G7" s="14"/>
      <c r="H7" s="611">
        <v>2016</v>
      </c>
      <c r="I7" s="612"/>
      <c r="J7" s="612"/>
      <c r="K7" s="612"/>
      <c r="L7" s="612"/>
      <c r="M7" s="612"/>
      <c r="N7" s="612"/>
      <c r="O7" s="612"/>
      <c r="P7" s="612"/>
      <c r="Q7" s="612"/>
      <c r="R7" s="612"/>
      <c r="S7" s="613"/>
      <c r="T7" s="614">
        <f>H7+1</f>
        <v>2017</v>
      </c>
      <c r="U7" s="615"/>
      <c r="V7" s="615"/>
      <c r="W7" s="615"/>
      <c r="X7" s="615"/>
      <c r="Y7" s="615"/>
      <c r="Z7" s="615"/>
      <c r="AA7" s="615"/>
      <c r="AB7" s="615"/>
      <c r="AC7" s="615"/>
      <c r="AD7" s="615"/>
      <c r="AE7" s="616"/>
      <c r="AF7" s="614">
        <f>T7+1</f>
        <v>2018</v>
      </c>
      <c r="AG7" s="615"/>
      <c r="AH7" s="615"/>
      <c r="AI7" s="615"/>
      <c r="AJ7" s="615"/>
      <c r="AK7" s="615"/>
      <c r="AL7" s="615"/>
      <c r="AM7" s="615"/>
      <c r="AN7" s="615"/>
      <c r="AO7" s="615"/>
      <c r="AP7" s="615"/>
      <c r="AQ7" s="616"/>
      <c r="AR7" s="614">
        <f>AF7+1</f>
        <v>2019</v>
      </c>
      <c r="AS7" s="615"/>
      <c r="AT7" s="615"/>
      <c r="AU7" s="615"/>
      <c r="AV7" s="615"/>
      <c r="AW7" s="615"/>
      <c r="AX7" s="615"/>
      <c r="AY7" s="615"/>
      <c r="AZ7" s="615"/>
      <c r="BA7" s="615"/>
      <c r="BB7" s="615"/>
      <c r="BC7" s="616"/>
      <c r="BD7" s="614">
        <f>AR7+1</f>
        <v>2020</v>
      </c>
      <c r="BE7" s="615"/>
      <c r="BF7" s="615"/>
      <c r="BG7" s="615"/>
      <c r="BH7" s="615"/>
      <c r="BI7" s="615"/>
      <c r="BJ7" s="615"/>
      <c r="BK7" s="615"/>
      <c r="BL7" s="615"/>
      <c r="BM7" s="615"/>
      <c r="BN7" s="615"/>
      <c r="BO7" s="616"/>
      <c r="BP7" s="614">
        <f>BD7+1</f>
        <v>2021</v>
      </c>
      <c r="BQ7" s="615"/>
      <c r="BR7" s="615"/>
      <c r="BS7" s="615"/>
      <c r="BT7" s="615"/>
      <c r="BU7" s="615"/>
      <c r="BV7" s="615"/>
      <c r="BW7" s="615"/>
      <c r="BX7" s="615"/>
      <c r="BY7" s="615"/>
      <c r="BZ7" s="615"/>
      <c r="CA7" s="616"/>
      <c r="CB7" s="614">
        <f>BP7+1</f>
        <v>2022</v>
      </c>
      <c r="CC7" s="615"/>
      <c r="CD7" s="615"/>
      <c r="CE7" s="615"/>
      <c r="CF7" s="615"/>
      <c r="CG7" s="615"/>
      <c r="CH7" s="615"/>
      <c r="CI7" s="615"/>
      <c r="CJ7" s="615"/>
      <c r="CK7" s="615"/>
      <c r="CL7" s="615"/>
      <c r="CM7" s="616"/>
      <c r="CN7" s="614">
        <v>2022</v>
      </c>
      <c r="CO7" s="615"/>
      <c r="CP7" s="615"/>
      <c r="CQ7" s="615"/>
      <c r="CR7" s="615"/>
      <c r="CS7" s="615"/>
      <c r="CT7" s="615"/>
      <c r="CU7" s="615"/>
      <c r="CV7" s="615"/>
      <c r="CW7" s="615"/>
      <c r="CX7" s="615"/>
      <c r="CY7" s="616"/>
      <c r="CZ7" s="614">
        <v>2023</v>
      </c>
      <c r="DA7" s="615"/>
      <c r="DB7" s="615"/>
      <c r="DC7" s="615"/>
      <c r="DD7" s="615"/>
      <c r="DE7" s="615"/>
      <c r="DF7" s="615"/>
      <c r="DG7" s="615"/>
      <c r="DH7" s="615"/>
      <c r="DI7" s="615"/>
      <c r="DJ7" s="615"/>
      <c r="DK7" s="616"/>
      <c r="DL7" s="15"/>
      <c r="DM7" s="16"/>
      <c r="DN7" s="12"/>
      <c r="DO7" s="12"/>
      <c r="DP7" s="13"/>
      <c r="DQ7" s="13"/>
      <c r="DR7" s="13"/>
      <c r="DS7" s="13"/>
      <c r="DT7" s="617" t="s">
        <v>355</v>
      </c>
      <c r="DU7" s="618"/>
      <c r="DV7" s="618"/>
      <c r="DW7" s="618"/>
      <c r="DX7" s="618"/>
      <c r="DY7" s="618"/>
      <c r="DZ7" s="618"/>
      <c r="EA7" s="618"/>
      <c r="EB7" s="618"/>
      <c r="EC7" s="618"/>
      <c r="ED7" s="618"/>
      <c r="EE7" s="619"/>
      <c r="EF7" s="641" t="s">
        <v>353</v>
      </c>
      <c r="EG7" s="642"/>
      <c r="EH7" s="642"/>
      <c r="EI7" s="642"/>
      <c r="EJ7" s="642"/>
      <c r="EK7" s="642"/>
      <c r="EL7" s="642"/>
      <c r="EM7" s="642"/>
      <c r="EN7" s="642"/>
      <c r="EO7" s="642"/>
      <c r="EP7" s="642"/>
      <c r="EQ7" s="642"/>
      <c r="ER7" s="642"/>
      <c r="ES7" s="642"/>
      <c r="ET7" s="642"/>
      <c r="EU7" s="643"/>
      <c r="EV7" s="644" t="s">
        <v>356</v>
      </c>
      <c r="EW7" s="645"/>
      <c r="EX7" s="645"/>
      <c r="EY7" s="645"/>
      <c r="EZ7" s="645"/>
      <c r="FA7" s="645"/>
      <c r="FB7" s="645"/>
      <c r="FC7" s="645"/>
      <c r="FD7" s="645"/>
      <c r="FE7" s="645"/>
      <c r="FF7" s="645"/>
      <c r="FG7" s="645"/>
      <c r="FH7" s="645"/>
      <c r="FI7" s="645"/>
      <c r="FJ7" s="645"/>
      <c r="FK7" s="646"/>
      <c r="FL7" s="647" t="s">
        <v>357</v>
      </c>
      <c r="FM7" s="648"/>
      <c r="FN7" s="648"/>
      <c r="FO7" s="648"/>
      <c r="FP7" s="648"/>
      <c r="FQ7" s="648"/>
      <c r="FR7" s="648"/>
      <c r="FS7" s="648"/>
      <c r="FT7" s="648"/>
      <c r="FU7" s="648"/>
      <c r="FV7" s="648"/>
      <c r="FW7" s="648"/>
      <c r="FX7" s="648"/>
      <c r="FY7" s="648"/>
      <c r="FZ7" s="648"/>
      <c r="GA7" s="648"/>
      <c r="GB7" s="649"/>
      <c r="GC7" s="650" t="s">
        <v>354</v>
      </c>
      <c r="GD7" s="651"/>
      <c r="GE7" s="651"/>
      <c r="GF7" s="651"/>
      <c r="GG7" s="651"/>
      <c r="GH7" s="651"/>
      <c r="GI7" s="651"/>
      <c r="GJ7" s="651"/>
      <c r="GK7" s="651"/>
      <c r="GL7" s="651"/>
      <c r="GM7" s="651"/>
      <c r="GN7" s="651"/>
      <c r="GO7" s="651"/>
      <c r="GP7" s="651"/>
      <c r="GQ7" s="652"/>
      <c r="GR7" s="15"/>
      <c r="GS7" s="17"/>
      <c r="GT7" s="12"/>
      <c r="GU7" s="12"/>
      <c r="GV7" s="638" t="s">
        <v>3</v>
      </c>
      <c r="GW7" s="639"/>
      <c r="GX7" s="639"/>
      <c r="GY7" s="639"/>
      <c r="GZ7" s="653"/>
      <c r="HA7" s="640" t="s">
        <v>14</v>
      </c>
      <c r="HB7" s="639"/>
      <c r="HC7" s="639"/>
      <c r="HD7" s="654"/>
      <c r="HE7" s="13"/>
      <c r="HF7" s="13"/>
      <c r="HG7" s="638" t="s">
        <v>3</v>
      </c>
      <c r="HH7" s="639"/>
      <c r="HI7" s="640" t="s">
        <v>4</v>
      </c>
      <c r="HJ7" s="639"/>
      <c r="HK7" s="18"/>
      <c r="HL7" s="638" t="s">
        <v>3</v>
      </c>
      <c r="HM7" s="639"/>
      <c r="HN7" s="640" t="s">
        <v>4</v>
      </c>
      <c r="HO7" s="639"/>
      <c r="HP7" s="18"/>
      <c r="HQ7" s="638" t="s">
        <v>3</v>
      </c>
      <c r="HR7" s="639"/>
      <c r="HS7" s="640" t="s">
        <v>4</v>
      </c>
      <c r="HT7" s="639"/>
      <c r="HU7" s="640" t="s">
        <v>15</v>
      </c>
      <c r="HV7" s="639"/>
      <c r="HW7" s="639"/>
      <c r="HX7" s="639"/>
      <c r="HY7" s="18"/>
      <c r="HZ7" s="655" t="s">
        <v>16</v>
      </c>
      <c r="IA7" s="656"/>
      <c r="IB7" s="656"/>
      <c r="IC7" s="656"/>
      <c r="ID7" s="656"/>
      <c r="IE7" s="657"/>
      <c r="IF7" s="655" t="s">
        <v>17</v>
      </c>
      <c r="IG7" s="656"/>
      <c r="IH7" s="656"/>
      <c r="II7" s="656"/>
      <c r="IJ7" s="656"/>
      <c r="IK7" s="657"/>
      <c r="IL7" s="655" t="s">
        <v>18</v>
      </c>
      <c r="IM7" s="656"/>
      <c r="IN7" s="656"/>
      <c r="IO7" s="656"/>
      <c r="IP7" s="656"/>
      <c r="IQ7" s="656"/>
      <c r="IR7" s="655" t="s">
        <v>19</v>
      </c>
      <c r="IS7" s="656"/>
      <c r="IT7" s="656"/>
      <c r="IU7" s="656"/>
      <c r="IV7" s="656"/>
      <c r="IW7" s="656"/>
      <c r="IX7" s="655" t="s">
        <v>20</v>
      </c>
      <c r="IY7" s="656"/>
      <c r="IZ7" s="656"/>
      <c r="JA7" s="656"/>
      <c r="JB7" s="656"/>
      <c r="JC7" s="657"/>
      <c r="JD7" s="655" t="s">
        <v>21</v>
      </c>
      <c r="JE7" s="656"/>
      <c r="JF7" s="656"/>
      <c r="JG7" s="656"/>
      <c r="JH7" s="656"/>
      <c r="JI7" s="656"/>
      <c r="JJ7" s="655" t="s">
        <v>22</v>
      </c>
      <c r="JK7" s="656"/>
      <c r="JL7" s="656"/>
      <c r="JM7" s="656"/>
      <c r="JN7" s="656"/>
      <c r="JO7" s="657"/>
      <c r="JP7" s="655" t="s">
        <v>23</v>
      </c>
      <c r="JQ7" s="656"/>
      <c r="JR7" s="656"/>
      <c r="JS7" s="656"/>
      <c r="JT7" s="656"/>
      <c r="JU7" s="656"/>
      <c r="JV7" s="655" t="s">
        <v>24</v>
      </c>
      <c r="JW7" s="656"/>
      <c r="JX7" s="656"/>
      <c r="JY7" s="656"/>
      <c r="JZ7" s="656"/>
      <c r="KA7" s="656"/>
      <c r="KB7" s="655" t="s">
        <v>25</v>
      </c>
      <c r="KC7" s="656"/>
      <c r="KD7" s="656"/>
      <c r="KE7" s="656"/>
      <c r="KF7" s="656"/>
      <c r="KG7" s="656"/>
      <c r="KH7" s="655" t="s">
        <v>26</v>
      </c>
      <c r="KI7" s="656"/>
      <c r="KJ7" s="656"/>
      <c r="KK7" s="656"/>
      <c r="KL7" s="656"/>
      <c r="KM7" s="657"/>
      <c r="KN7" s="655" t="s">
        <v>27</v>
      </c>
      <c r="KO7" s="656"/>
      <c r="KP7" s="656"/>
      <c r="KQ7" s="656"/>
      <c r="KR7" s="656"/>
      <c r="KS7" s="657"/>
      <c r="KT7" s="655" t="s">
        <v>28</v>
      </c>
      <c r="KU7" s="656"/>
      <c r="KV7" s="656"/>
      <c r="KW7" s="656"/>
      <c r="KX7" s="656"/>
      <c r="KY7" s="656"/>
      <c r="KZ7" s="655" t="s">
        <v>29</v>
      </c>
      <c r="LA7" s="656"/>
      <c r="LB7" s="656"/>
      <c r="LC7" s="656"/>
      <c r="LD7" s="656"/>
      <c r="LE7" s="656"/>
      <c r="LF7" s="655" t="s">
        <v>30</v>
      </c>
      <c r="LG7" s="656"/>
      <c r="LH7" s="656"/>
      <c r="LI7" s="656"/>
      <c r="LJ7" s="656"/>
      <c r="LK7" s="656"/>
      <c r="LL7" s="655" t="s">
        <v>31</v>
      </c>
      <c r="LM7" s="656"/>
      <c r="LN7" s="656"/>
      <c r="LO7" s="656"/>
      <c r="LP7" s="656"/>
      <c r="LQ7" s="656"/>
      <c r="LR7" s="655" t="s">
        <v>32</v>
      </c>
      <c r="LS7" s="656"/>
      <c r="LT7" s="656"/>
      <c r="LU7" s="656"/>
      <c r="LV7" s="656"/>
      <c r="LW7" s="657"/>
      <c r="LX7" s="656" t="s">
        <v>16</v>
      </c>
      <c r="LY7" s="656"/>
      <c r="LZ7" s="656"/>
      <c r="MA7" s="656"/>
      <c r="MB7" s="656"/>
      <c r="MC7" s="657"/>
      <c r="MD7" s="655" t="s">
        <v>17</v>
      </c>
      <c r="ME7" s="656"/>
      <c r="MF7" s="656"/>
      <c r="MG7" s="656"/>
      <c r="MH7" s="656"/>
      <c r="MI7" s="657"/>
      <c r="MJ7" s="655" t="s">
        <v>18</v>
      </c>
      <c r="MK7" s="656"/>
      <c r="ML7" s="656"/>
      <c r="MM7" s="656"/>
      <c r="MN7" s="656"/>
      <c r="MO7" s="656"/>
      <c r="MP7" s="655" t="s">
        <v>19</v>
      </c>
      <c r="MQ7" s="656"/>
      <c r="MR7" s="656"/>
      <c r="MS7" s="656"/>
      <c r="MT7" s="656"/>
      <c r="MU7" s="656"/>
      <c r="MV7" s="655" t="s">
        <v>20</v>
      </c>
      <c r="MW7" s="656"/>
      <c r="MX7" s="656"/>
      <c r="MY7" s="656"/>
      <c r="MZ7" s="656"/>
      <c r="NA7" s="656"/>
      <c r="NB7" s="655" t="s">
        <v>21</v>
      </c>
      <c r="NC7" s="656"/>
      <c r="ND7" s="656"/>
      <c r="NE7" s="656"/>
      <c r="NF7" s="656"/>
      <c r="NG7" s="656"/>
      <c r="NH7" s="655" t="s">
        <v>22</v>
      </c>
      <c r="NI7" s="656"/>
      <c r="NJ7" s="656"/>
      <c r="NK7" s="656"/>
      <c r="NL7" s="656"/>
      <c r="NM7" s="657"/>
      <c r="NN7" s="655" t="s">
        <v>23</v>
      </c>
      <c r="NO7" s="656"/>
      <c r="NP7" s="656"/>
      <c r="NQ7" s="656"/>
      <c r="NR7" s="656"/>
      <c r="NS7" s="656"/>
      <c r="NT7" s="655" t="s">
        <v>24</v>
      </c>
      <c r="NU7" s="656"/>
      <c r="NV7" s="656"/>
      <c r="NW7" s="656"/>
      <c r="NX7" s="656"/>
      <c r="NY7" s="656"/>
      <c r="NZ7" s="655" t="s">
        <v>25</v>
      </c>
      <c r="OA7" s="656"/>
      <c r="OB7" s="656"/>
      <c r="OC7" s="656"/>
      <c r="OD7" s="656"/>
      <c r="OE7" s="656"/>
      <c r="OF7" s="655" t="s">
        <v>26</v>
      </c>
      <c r="OG7" s="656"/>
      <c r="OH7" s="656"/>
      <c r="OI7" s="656"/>
      <c r="OJ7" s="656"/>
      <c r="OK7" s="656"/>
      <c r="OL7" s="655" t="s">
        <v>27</v>
      </c>
      <c r="OM7" s="656"/>
      <c r="ON7" s="656"/>
      <c r="OO7" s="656"/>
      <c r="OP7" s="656"/>
      <c r="OQ7" s="657"/>
      <c r="OR7" s="655" t="s">
        <v>28</v>
      </c>
      <c r="OS7" s="656"/>
      <c r="OT7" s="656"/>
      <c r="OU7" s="656"/>
      <c r="OV7" s="656"/>
      <c r="OW7" s="656"/>
      <c r="OX7" s="655" t="s">
        <v>29</v>
      </c>
      <c r="OY7" s="656"/>
      <c r="OZ7" s="656"/>
      <c r="PA7" s="656"/>
      <c r="PB7" s="656"/>
      <c r="PC7" s="656"/>
      <c r="PD7" s="655" t="s">
        <v>30</v>
      </c>
      <c r="PE7" s="656"/>
      <c r="PF7" s="656"/>
      <c r="PG7" s="656"/>
      <c r="PH7" s="656"/>
      <c r="PI7" s="656"/>
      <c r="PJ7" s="655" t="s">
        <v>31</v>
      </c>
      <c r="PK7" s="656"/>
      <c r="PL7" s="656"/>
      <c r="PM7" s="656"/>
      <c r="PN7" s="656"/>
      <c r="PO7" s="656"/>
      <c r="PP7" s="655" t="s">
        <v>32</v>
      </c>
      <c r="PQ7" s="656"/>
      <c r="PR7" s="656"/>
      <c r="PS7" s="656"/>
      <c r="PT7" s="656"/>
      <c r="PU7" s="656"/>
      <c r="PV7" s="19"/>
      <c r="PW7" s="20"/>
      <c r="PX7" s="20"/>
      <c r="PY7" s="20"/>
      <c r="PZ7" s="20"/>
      <c r="QA7" s="21"/>
      <c r="QB7" s="22"/>
      <c r="QC7" s="23"/>
      <c r="QD7" s="23"/>
      <c r="QE7" s="23"/>
      <c r="QF7" s="23"/>
      <c r="QG7" s="24"/>
      <c r="QH7" s="25"/>
      <c r="QI7" s="26"/>
      <c r="QJ7" s="26"/>
      <c r="QK7" s="26"/>
      <c r="QL7" s="26"/>
      <c r="QM7" s="27"/>
      <c r="QN7" s="28"/>
      <c r="QO7" s="29"/>
      <c r="QP7" s="30"/>
      <c r="QQ7" s="31"/>
      <c r="QR7" s="32"/>
      <c r="QS7" s="33"/>
      <c r="QT7" s="661" t="s">
        <v>362</v>
      </c>
      <c r="QU7" s="661"/>
      <c r="QV7" s="661"/>
      <c r="QW7" s="662"/>
      <c r="QX7" s="663" t="s">
        <v>353</v>
      </c>
      <c r="QY7" s="664"/>
      <c r="QZ7" s="664"/>
      <c r="RA7" s="664"/>
      <c r="RB7" s="664"/>
      <c r="RC7" s="664"/>
      <c r="RD7" s="664"/>
      <c r="RE7" s="664"/>
      <c r="RF7" s="664"/>
      <c r="RG7" s="664"/>
      <c r="RH7" s="664"/>
      <c r="RI7" s="664"/>
      <c r="RJ7" s="664"/>
      <c r="RK7" s="665"/>
      <c r="RL7" s="666" t="s">
        <v>356</v>
      </c>
      <c r="RM7" s="667"/>
      <c r="RN7" s="667"/>
      <c r="RO7" s="667"/>
      <c r="RP7" s="667"/>
      <c r="RQ7" s="667"/>
      <c r="RR7" s="667"/>
      <c r="RS7" s="667"/>
      <c r="RT7" s="667"/>
      <c r="RU7" s="667"/>
      <c r="RV7" s="667"/>
      <c r="RW7" s="667"/>
      <c r="RX7" s="667"/>
      <c r="RY7" s="667"/>
      <c r="RZ7" s="667"/>
      <c r="SA7" s="667"/>
      <c r="SB7" s="668"/>
      <c r="SC7" s="669" t="s">
        <v>357</v>
      </c>
      <c r="SD7" s="670"/>
      <c r="SE7" s="670"/>
      <c r="SF7" s="670"/>
      <c r="SG7" s="670"/>
      <c r="SH7" s="670"/>
      <c r="SI7" s="670"/>
      <c r="SJ7" s="670"/>
      <c r="SK7" s="670"/>
      <c r="SL7" s="670"/>
      <c r="SM7" s="670"/>
      <c r="SN7" s="670"/>
      <c r="SO7" s="670"/>
      <c r="SP7" s="670"/>
      <c r="SQ7" s="670"/>
      <c r="SR7" s="670"/>
      <c r="SS7" s="670"/>
      <c r="ST7" s="670"/>
      <c r="SU7" s="670"/>
      <c r="SV7" s="670"/>
      <c r="SW7" s="671"/>
      <c r="SX7" s="658" t="s">
        <v>354</v>
      </c>
      <c r="SY7" s="659"/>
      <c r="SZ7" s="659"/>
      <c r="TA7" s="659"/>
      <c r="TB7" s="659"/>
      <c r="TC7" s="659"/>
      <c r="TD7" s="659"/>
      <c r="TE7" s="659"/>
      <c r="TF7" s="659"/>
      <c r="TG7" s="659"/>
      <c r="TH7" s="659"/>
      <c r="TI7" s="659"/>
      <c r="TJ7" s="659"/>
      <c r="TK7" s="659"/>
      <c r="TL7" s="659"/>
      <c r="TM7" s="659"/>
      <c r="TN7" s="659"/>
      <c r="TO7" s="659"/>
      <c r="TP7" s="659"/>
      <c r="TQ7" s="659"/>
      <c r="TR7" s="659"/>
      <c r="TS7" s="659"/>
      <c r="TT7" s="659"/>
      <c r="TU7" s="659"/>
      <c r="TV7" s="660"/>
      <c r="TW7" s="34"/>
      <c r="TX7" s="35"/>
      <c r="TY7" s="36"/>
      <c r="TZ7" s="37"/>
      <c r="UA7" s="38"/>
      <c r="UB7" s="39"/>
      <c r="UC7" s="40"/>
      <c r="UD7" s="41"/>
      <c r="UE7" s="41"/>
      <c r="UF7" s="41"/>
      <c r="UG7" s="41"/>
      <c r="UH7" s="41"/>
      <c r="UI7" s="41"/>
      <c r="UJ7" s="41"/>
      <c r="UK7" s="41"/>
      <c r="UL7" s="42"/>
      <c r="UM7" s="43"/>
      <c r="UN7" s="44"/>
      <c r="UO7" s="44"/>
      <c r="UP7" s="44"/>
      <c r="UQ7" s="44"/>
      <c r="UR7" s="44"/>
      <c r="US7" s="44"/>
      <c r="UT7" s="44"/>
      <c r="UU7" s="44"/>
      <c r="UV7" s="45"/>
      <c r="UW7" s="46"/>
      <c r="UX7" s="47"/>
      <c r="UY7" s="47"/>
      <c r="UZ7" s="47"/>
      <c r="VA7" s="47"/>
      <c r="VB7" s="47"/>
      <c r="VC7" s="47"/>
      <c r="VD7" s="47"/>
      <c r="VE7" s="47"/>
      <c r="VF7" s="48"/>
      <c r="VG7" s="49"/>
      <c r="VH7" s="50"/>
      <c r="VI7" s="50"/>
      <c r="VJ7" s="50"/>
      <c r="VK7" s="50"/>
      <c r="VL7" s="50"/>
      <c r="VM7" s="50"/>
      <c r="VN7" s="50"/>
      <c r="VO7" s="50"/>
      <c r="VP7" s="51"/>
      <c r="VQ7" s="52"/>
      <c r="VR7" s="53"/>
      <c r="VS7" s="53"/>
      <c r="VT7" s="53"/>
      <c r="VU7" s="53"/>
      <c r="VV7" s="53"/>
      <c r="VW7" s="53"/>
      <c r="VX7" s="53"/>
      <c r="VY7" s="53"/>
      <c r="VZ7" s="53"/>
      <c r="WA7" s="53"/>
      <c r="WB7" s="53"/>
      <c r="WC7" s="53"/>
      <c r="WD7" s="53"/>
      <c r="WE7" s="53"/>
      <c r="WF7" s="53"/>
      <c r="WG7" s="53"/>
      <c r="WH7" s="53"/>
      <c r="WI7" s="53"/>
      <c r="WJ7" s="53"/>
      <c r="WK7" s="53"/>
      <c r="WL7" s="53"/>
      <c r="WM7" s="53"/>
      <c r="WN7" s="54"/>
      <c r="WO7" s="55"/>
      <c r="WP7" s="56"/>
      <c r="WQ7" s="34"/>
      <c r="WR7" s="35"/>
      <c r="WS7" s="36"/>
      <c r="WT7" s="37"/>
      <c r="WU7" s="38"/>
      <c r="WV7" s="39"/>
      <c r="WW7" s="640" t="s">
        <v>4</v>
      </c>
      <c r="WX7" s="639"/>
      <c r="WY7" s="640" t="s">
        <v>15</v>
      </c>
      <c r="WZ7" s="639"/>
      <c r="XA7" s="639"/>
      <c r="XB7" s="639"/>
      <c r="XC7" s="18"/>
      <c r="XD7" s="15"/>
      <c r="XE7" s="57"/>
    </row>
    <row r="8" spans="1:629" ht="200.1" customHeight="1" thickBot="1" x14ac:dyDescent="0.55000000000000004">
      <c r="A8" s="58" t="s">
        <v>33</v>
      </c>
      <c r="B8" s="58" t="s">
        <v>34</v>
      </c>
      <c r="C8" s="59" t="s">
        <v>35</v>
      </c>
      <c r="D8" s="59" t="s">
        <v>36</v>
      </c>
      <c r="E8" s="461" t="s">
        <v>37</v>
      </c>
      <c r="F8" s="492" t="s">
        <v>59</v>
      </c>
      <c r="G8" s="60" t="s">
        <v>38</v>
      </c>
      <c r="H8" s="61" t="s">
        <v>39</v>
      </c>
      <c r="I8" s="62" t="s">
        <v>40</v>
      </c>
      <c r="J8" s="62" t="s">
        <v>41</v>
      </c>
      <c r="K8" s="61" t="s">
        <v>42</v>
      </c>
      <c r="L8" s="63" t="s">
        <v>41</v>
      </c>
      <c r="M8" s="63" t="s">
        <v>43</v>
      </c>
      <c r="N8" s="62" t="s">
        <v>43</v>
      </c>
      <c r="O8" s="61" t="s">
        <v>42</v>
      </c>
      <c r="P8" s="63" t="s">
        <v>44</v>
      </c>
      <c r="Q8" s="62" t="s">
        <v>45</v>
      </c>
      <c r="R8" s="61" t="s">
        <v>46</v>
      </c>
      <c r="S8" s="64" t="s">
        <v>47</v>
      </c>
      <c r="T8" s="65" t="s">
        <v>39</v>
      </c>
      <c r="U8" s="63" t="s">
        <v>40</v>
      </c>
      <c r="V8" s="63" t="s">
        <v>41</v>
      </c>
      <c r="W8" s="63" t="s">
        <v>42</v>
      </c>
      <c r="X8" s="62" t="s">
        <v>41</v>
      </c>
      <c r="Y8" s="61" t="s">
        <v>43</v>
      </c>
      <c r="Z8" s="63" t="s">
        <v>43</v>
      </c>
      <c r="AA8" s="62" t="s">
        <v>42</v>
      </c>
      <c r="AB8" s="61" t="s">
        <v>44</v>
      </c>
      <c r="AC8" s="62" t="s">
        <v>45</v>
      </c>
      <c r="AD8" s="62" t="s">
        <v>46</v>
      </c>
      <c r="AE8" s="66" t="s">
        <v>47</v>
      </c>
      <c r="AF8" s="61" t="s">
        <v>39</v>
      </c>
      <c r="AG8" s="63" t="s">
        <v>40</v>
      </c>
      <c r="AH8" s="62" t="s">
        <v>41</v>
      </c>
      <c r="AI8" s="62" t="s">
        <v>42</v>
      </c>
      <c r="AJ8" s="62" t="s">
        <v>41</v>
      </c>
      <c r="AK8" s="62" t="s">
        <v>43</v>
      </c>
      <c r="AL8" s="61" t="s">
        <v>43</v>
      </c>
      <c r="AM8" s="62" t="s">
        <v>42</v>
      </c>
      <c r="AN8" s="62" t="s">
        <v>44</v>
      </c>
      <c r="AO8" s="62" t="s">
        <v>45</v>
      </c>
      <c r="AP8" s="62" t="s">
        <v>46</v>
      </c>
      <c r="AQ8" s="66" t="s">
        <v>47</v>
      </c>
      <c r="AR8" s="61" t="s">
        <v>39</v>
      </c>
      <c r="AS8" s="62" t="s">
        <v>40</v>
      </c>
      <c r="AT8" s="61" t="s">
        <v>41</v>
      </c>
      <c r="AU8" s="62" t="s">
        <v>42</v>
      </c>
      <c r="AV8" s="62" t="s">
        <v>41</v>
      </c>
      <c r="AW8" s="61" t="s">
        <v>43</v>
      </c>
      <c r="AX8" s="63" t="s">
        <v>43</v>
      </c>
      <c r="AY8" s="62" t="s">
        <v>42</v>
      </c>
      <c r="AZ8" s="63" t="s">
        <v>44</v>
      </c>
      <c r="BA8" s="63" t="s">
        <v>45</v>
      </c>
      <c r="BB8" s="62" t="s">
        <v>46</v>
      </c>
      <c r="BC8" s="66" t="s">
        <v>47</v>
      </c>
      <c r="BD8" s="67" t="s">
        <v>39</v>
      </c>
      <c r="BE8" s="61" t="s">
        <v>40</v>
      </c>
      <c r="BF8" s="63" t="s">
        <v>41</v>
      </c>
      <c r="BG8" s="63" t="s">
        <v>42</v>
      </c>
      <c r="BH8" s="63" t="s">
        <v>41</v>
      </c>
      <c r="BI8" s="62" t="s">
        <v>43</v>
      </c>
      <c r="BJ8" s="62" t="s">
        <v>43</v>
      </c>
      <c r="BK8" s="61" t="s">
        <v>42</v>
      </c>
      <c r="BL8" s="62" t="s">
        <v>44</v>
      </c>
      <c r="BM8" s="61" t="s">
        <v>45</v>
      </c>
      <c r="BN8" s="63" t="s">
        <v>46</v>
      </c>
      <c r="BO8" s="64" t="s">
        <v>47</v>
      </c>
      <c r="BP8" s="67" t="s">
        <v>39</v>
      </c>
      <c r="BQ8" s="61" t="s">
        <v>40</v>
      </c>
      <c r="BR8" s="63" t="s">
        <v>41</v>
      </c>
      <c r="BS8" s="63" t="s">
        <v>42</v>
      </c>
      <c r="BT8" s="63" t="s">
        <v>41</v>
      </c>
      <c r="BU8" s="62" t="s">
        <v>43</v>
      </c>
      <c r="BV8" s="62" t="s">
        <v>43</v>
      </c>
      <c r="BW8" s="61" t="s">
        <v>42</v>
      </c>
      <c r="BX8" s="62" t="s">
        <v>44</v>
      </c>
      <c r="BY8" s="61" t="s">
        <v>45</v>
      </c>
      <c r="BZ8" s="63" t="s">
        <v>46</v>
      </c>
      <c r="CA8" s="64" t="s">
        <v>47</v>
      </c>
      <c r="CB8" s="67" t="s">
        <v>39</v>
      </c>
      <c r="CC8" s="61" t="s">
        <v>40</v>
      </c>
      <c r="CD8" s="63" t="s">
        <v>41</v>
      </c>
      <c r="CE8" s="63" t="s">
        <v>42</v>
      </c>
      <c r="CF8" s="63" t="s">
        <v>41</v>
      </c>
      <c r="CG8" s="62" t="s">
        <v>43</v>
      </c>
      <c r="CH8" s="62" t="s">
        <v>43</v>
      </c>
      <c r="CI8" s="61" t="s">
        <v>42</v>
      </c>
      <c r="CJ8" s="62" t="s">
        <v>44</v>
      </c>
      <c r="CK8" s="61" t="s">
        <v>45</v>
      </c>
      <c r="CL8" s="63" t="s">
        <v>46</v>
      </c>
      <c r="CM8" s="64" t="s">
        <v>47</v>
      </c>
      <c r="CN8" s="67" t="s">
        <v>39</v>
      </c>
      <c r="CO8" s="61" t="s">
        <v>40</v>
      </c>
      <c r="CP8" s="63" t="s">
        <v>41</v>
      </c>
      <c r="CQ8" s="63" t="s">
        <v>42</v>
      </c>
      <c r="CR8" s="63" t="s">
        <v>41</v>
      </c>
      <c r="CS8" s="62" t="s">
        <v>43</v>
      </c>
      <c r="CT8" s="62" t="s">
        <v>43</v>
      </c>
      <c r="CU8" s="61" t="s">
        <v>42</v>
      </c>
      <c r="CV8" s="62" t="s">
        <v>44</v>
      </c>
      <c r="CW8" s="61" t="s">
        <v>45</v>
      </c>
      <c r="CX8" s="63" t="s">
        <v>46</v>
      </c>
      <c r="CY8" s="64" t="s">
        <v>47</v>
      </c>
      <c r="CZ8" s="67" t="s">
        <v>39</v>
      </c>
      <c r="DA8" s="61" t="s">
        <v>40</v>
      </c>
      <c r="DB8" s="63" t="s">
        <v>41</v>
      </c>
      <c r="DC8" s="63" t="s">
        <v>42</v>
      </c>
      <c r="DD8" s="63" t="s">
        <v>41</v>
      </c>
      <c r="DE8" s="62" t="s">
        <v>43</v>
      </c>
      <c r="DF8" s="62" t="s">
        <v>43</v>
      </c>
      <c r="DG8" s="61" t="s">
        <v>42</v>
      </c>
      <c r="DH8" s="62" t="s">
        <v>44</v>
      </c>
      <c r="DI8" s="61" t="s">
        <v>45</v>
      </c>
      <c r="DJ8" s="63" t="s">
        <v>46</v>
      </c>
      <c r="DK8" s="64" t="s">
        <v>47</v>
      </c>
      <c r="DL8" s="68"/>
      <c r="DM8" s="16"/>
      <c r="DN8" s="58" t="s">
        <v>33</v>
      </c>
      <c r="DO8" s="324" t="s">
        <v>34</v>
      </c>
      <c r="DP8" s="325" t="s">
        <v>35</v>
      </c>
      <c r="DQ8" s="325" t="s">
        <v>36</v>
      </c>
      <c r="DR8" s="325" t="s">
        <v>37</v>
      </c>
      <c r="DS8" s="325" t="s">
        <v>48</v>
      </c>
      <c r="DT8" s="321" t="s">
        <v>49</v>
      </c>
      <c r="DU8" s="322" t="s">
        <v>50</v>
      </c>
      <c r="DV8" s="322" t="s">
        <v>51</v>
      </c>
      <c r="DW8" s="321" t="s">
        <v>52</v>
      </c>
      <c r="DX8" s="77" t="s">
        <v>53</v>
      </c>
      <c r="DY8" s="322" t="s">
        <v>54</v>
      </c>
      <c r="DZ8" s="321" t="s">
        <v>55</v>
      </c>
      <c r="EA8" s="322" t="s">
        <v>56</v>
      </c>
      <c r="EB8" s="77" t="s">
        <v>57</v>
      </c>
      <c r="EC8" s="323" t="s">
        <v>58</v>
      </c>
      <c r="ED8" s="326" t="s">
        <v>59</v>
      </c>
      <c r="EE8" s="327" t="s">
        <v>60</v>
      </c>
      <c r="EF8" s="80" t="s">
        <v>61</v>
      </c>
      <c r="EG8" s="328" t="s">
        <v>62</v>
      </c>
      <c r="EH8" s="71" t="s">
        <v>63</v>
      </c>
      <c r="EI8" s="71" t="s">
        <v>64</v>
      </c>
      <c r="EJ8" s="437" t="s">
        <v>65</v>
      </c>
      <c r="EK8" s="71" t="s">
        <v>66</v>
      </c>
      <c r="EL8" s="71" t="s">
        <v>67</v>
      </c>
      <c r="EM8" s="71" t="s">
        <v>68</v>
      </c>
      <c r="EN8" s="71" t="s">
        <v>69</v>
      </c>
      <c r="EO8" s="328" t="s">
        <v>70</v>
      </c>
      <c r="EP8" s="71" t="s">
        <v>71</v>
      </c>
      <c r="EQ8" s="72" t="s">
        <v>72</v>
      </c>
      <c r="ER8" s="72" t="s">
        <v>73</v>
      </c>
      <c r="ES8" s="72" t="s">
        <v>74</v>
      </c>
      <c r="ET8" s="73" t="s">
        <v>75</v>
      </c>
      <c r="EU8" s="326" t="s">
        <v>60</v>
      </c>
      <c r="EV8" s="75" t="s">
        <v>76</v>
      </c>
      <c r="EW8" s="322" t="s">
        <v>77</v>
      </c>
      <c r="EX8" s="322" t="s">
        <v>63</v>
      </c>
      <c r="EY8" s="322" t="s">
        <v>64</v>
      </c>
      <c r="EZ8" s="321" t="s">
        <v>78</v>
      </c>
      <c r="FA8" s="322" t="s">
        <v>66</v>
      </c>
      <c r="FB8" s="322" t="s">
        <v>67</v>
      </c>
      <c r="FC8" s="322" t="s">
        <v>68</v>
      </c>
      <c r="FD8" s="322" t="s">
        <v>79</v>
      </c>
      <c r="FE8" s="321" t="s">
        <v>80</v>
      </c>
      <c r="FF8" s="322" t="s">
        <v>81</v>
      </c>
      <c r="FG8" s="77" t="s">
        <v>82</v>
      </c>
      <c r="FH8" s="77" t="s">
        <v>83</v>
      </c>
      <c r="FI8" s="77" t="s">
        <v>84</v>
      </c>
      <c r="FJ8" s="323" t="s">
        <v>85</v>
      </c>
      <c r="FK8" s="326" t="s">
        <v>60</v>
      </c>
      <c r="FL8" s="70" t="s">
        <v>76</v>
      </c>
      <c r="FM8" s="71" t="s">
        <v>77</v>
      </c>
      <c r="FN8" s="71" t="s">
        <v>86</v>
      </c>
      <c r="FO8" s="71" t="s">
        <v>64</v>
      </c>
      <c r="FP8" s="71" t="s">
        <v>87</v>
      </c>
      <c r="FQ8" s="328" t="s">
        <v>88</v>
      </c>
      <c r="FR8" s="71" t="s">
        <v>89</v>
      </c>
      <c r="FS8" s="71" t="s">
        <v>90</v>
      </c>
      <c r="FT8" s="71" t="s">
        <v>68</v>
      </c>
      <c r="FU8" s="71" t="s">
        <v>91</v>
      </c>
      <c r="FV8" s="328" t="s">
        <v>92</v>
      </c>
      <c r="FW8" s="71" t="s">
        <v>93</v>
      </c>
      <c r="FX8" s="72" t="s">
        <v>94</v>
      </c>
      <c r="FY8" s="72" t="s">
        <v>95</v>
      </c>
      <c r="FZ8" s="72" t="s">
        <v>96</v>
      </c>
      <c r="GA8" s="73" t="s">
        <v>97</v>
      </c>
      <c r="GB8" s="329" t="s">
        <v>60</v>
      </c>
      <c r="GC8" s="330" t="s">
        <v>62</v>
      </c>
      <c r="GD8" s="331" t="s">
        <v>86</v>
      </c>
      <c r="GE8" s="71" t="s">
        <v>98</v>
      </c>
      <c r="GF8" s="332" t="s">
        <v>99</v>
      </c>
      <c r="GG8" s="333" t="s">
        <v>89</v>
      </c>
      <c r="GH8" s="331" t="s">
        <v>100</v>
      </c>
      <c r="GI8" s="331" t="s">
        <v>68</v>
      </c>
      <c r="GJ8" s="71" t="s">
        <v>91</v>
      </c>
      <c r="GK8" s="328" t="s">
        <v>92</v>
      </c>
      <c r="GL8" s="71" t="s">
        <v>93</v>
      </c>
      <c r="GM8" s="334" t="s">
        <v>94</v>
      </c>
      <c r="GN8" s="334" t="s">
        <v>101</v>
      </c>
      <c r="GO8" s="334" t="s">
        <v>96</v>
      </c>
      <c r="GP8" s="335" t="s">
        <v>97</v>
      </c>
      <c r="GQ8" s="69" t="s">
        <v>60</v>
      </c>
      <c r="GR8" s="68"/>
      <c r="GS8" s="17"/>
      <c r="GT8" s="58" t="s">
        <v>33</v>
      </c>
      <c r="GU8" s="58" t="s">
        <v>34</v>
      </c>
      <c r="GV8" s="70" t="s">
        <v>102</v>
      </c>
      <c r="GW8" s="71" t="s">
        <v>103</v>
      </c>
      <c r="GX8" s="71" t="s">
        <v>104</v>
      </c>
      <c r="GY8" s="71" t="s">
        <v>105</v>
      </c>
      <c r="GZ8" s="72" t="s">
        <v>106</v>
      </c>
      <c r="HA8" s="72" t="s">
        <v>107</v>
      </c>
      <c r="HB8" s="72" t="s">
        <v>108</v>
      </c>
      <c r="HC8" s="72" t="s">
        <v>109</v>
      </c>
      <c r="HD8" s="73" t="s">
        <v>110</v>
      </c>
      <c r="HE8" s="59" t="s">
        <v>59</v>
      </c>
      <c r="HF8" s="74" t="s">
        <v>60</v>
      </c>
      <c r="HG8" s="75" t="s">
        <v>111</v>
      </c>
      <c r="HH8" s="76" t="s">
        <v>112</v>
      </c>
      <c r="HI8" s="77" t="s">
        <v>113</v>
      </c>
      <c r="HJ8" s="76" t="s">
        <v>112</v>
      </c>
      <c r="HK8" s="74" t="s">
        <v>60</v>
      </c>
      <c r="HL8" s="78" t="s">
        <v>114</v>
      </c>
      <c r="HM8" s="76" t="s">
        <v>112</v>
      </c>
      <c r="HN8" s="79" t="s">
        <v>115</v>
      </c>
      <c r="HO8" s="76" t="s">
        <v>112</v>
      </c>
      <c r="HP8" s="74" t="s">
        <v>60</v>
      </c>
      <c r="HQ8" s="78" t="s">
        <v>116</v>
      </c>
      <c r="HR8" s="76" t="s">
        <v>112</v>
      </c>
      <c r="HS8" s="79" t="s">
        <v>117</v>
      </c>
      <c r="HT8" s="76" t="s">
        <v>112</v>
      </c>
      <c r="HU8" s="680" t="s">
        <v>118</v>
      </c>
      <c r="HV8" s="681"/>
      <c r="HW8" s="681"/>
      <c r="HX8" s="76" t="s">
        <v>112</v>
      </c>
      <c r="HY8" s="74" t="s">
        <v>60</v>
      </c>
      <c r="HZ8" s="80" t="s">
        <v>119</v>
      </c>
      <c r="IA8" s="71" t="s">
        <v>120</v>
      </c>
      <c r="IB8" s="81" t="s">
        <v>121</v>
      </c>
      <c r="IC8" s="71" t="s">
        <v>122</v>
      </c>
      <c r="ID8" s="81" t="s">
        <v>123</v>
      </c>
      <c r="IE8" s="82" t="s">
        <v>124</v>
      </c>
      <c r="IF8" s="80" t="s">
        <v>125</v>
      </c>
      <c r="IG8" s="71" t="s">
        <v>126</v>
      </c>
      <c r="IH8" s="81" t="s">
        <v>127</v>
      </c>
      <c r="II8" s="71" t="s">
        <v>128</v>
      </c>
      <c r="IJ8" s="81" t="s">
        <v>129</v>
      </c>
      <c r="IK8" s="81" t="s">
        <v>130</v>
      </c>
      <c r="IL8" s="80" t="s">
        <v>131</v>
      </c>
      <c r="IM8" s="71" t="s">
        <v>132</v>
      </c>
      <c r="IN8" s="81" t="s">
        <v>133</v>
      </c>
      <c r="IO8" s="71" t="s">
        <v>134</v>
      </c>
      <c r="IP8" s="81" t="s">
        <v>135</v>
      </c>
      <c r="IQ8" s="73" t="s">
        <v>136</v>
      </c>
      <c r="IR8" s="81" t="s">
        <v>137</v>
      </c>
      <c r="IS8" s="71" t="s">
        <v>138</v>
      </c>
      <c r="IT8" s="81" t="s">
        <v>139</v>
      </c>
      <c r="IU8" s="71" t="s">
        <v>140</v>
      </c>
      <c r="IV8" s="81" t="s">
        <v>141</v>
      </c>
      <c r="IW8" s="73" t="s">
        <v>142</v>
      </c>
      <c r="IX8" s="81" t="s">
        <v>143</v>
      </c>
      <c r="IY8" s="71" t="s">
        <v>144</v>
      </c>
      <c r="IZ8" s="81" t="s">
        <v>145</v>
      </c>
      <c r="JA8" s="71" t="s">
        <v>146</v>
      </c>
      <c r="JB8" s="81" t="s">
        <v>147</v>
      </c>
      <c r="JC8" s="82" t="s">
        <v>148</v>
      </c>
      <c r="JD8" s="80" t="s">
        <v>149</v>
      </c>
      <c r="JE8" s="71" t="s">
        <v>150</v>
      </c>
      <c r="JF8" s="81" t="s">
        <v>151</v>
      </c>
      <c r="JG8" s="71" t="s">
        <v>152</v>
      </c>
      <c r="JH8" s="81" t="s">
        <v>153</v>
      </c>
      <c r="JI8" s="81" t="s">
        <v>154</v>
      </c>
      <c r="JJ8" s="80" t="s">
        <v>155</v>
      </c>
      <c r="JK8" s="71" t="s">
        <v>156</v>
      </c>
      <c r="JL8" s="81" t="s">
        <v>157</v>
      </c>
      <c r="JM8" s="71" t="s">
        <v>158</v>
      </c>
      <c r="JN8" s="81" t="s">
        <v>159</v>
      </c>
      <c r="JO8" s="81" t="s">
        <v>160</v>
      </c>
      <c r="JP8" s="80" t="s">
        <v>161</v>
      </c>
      <c r="JQ8" s="71" t="s">
        <v>162</v>
      </c>
      <c r="JR8" s="81" t="s">
        <v>163</v>
      </c>
      <c r="JS8" s="71" t="s">
        <v>164</v>
      </c>
      <c r="JT8" s="81" t="s">
        <v>165</v>
      </c>
      <c r="JU8" s="81" t="s">
        <v>166</v>
      </c>
      <c r="JV8" s="80" t="s">
        <v>167</v>
      </c>
      <c r="JW8" s="71" t="s">
        <v>168</v>
      </c>
      <c r="JX8" s="81" t="s">
        <v>169</v>
      </c>
      <c r="JY8" s="71" t="s">
        <v>170</v>
      </c>
      <c r="JZ8" s="81" t="s">
        <v>171</v>
      </c>
      <c r="KA8" s="81" t="s">
        <v>172</v>
      </c>
      <c r="KB8" s="80" t="s">
        <v>173</v>
      </c>
      <c r="KC8" s="71" t="s">
        <v>174</v>
      </c>
      <c r="KD8" s="81" t="s">
        <v>175</v>
      </c>
      <c r="KE8" s="71" t="s">
        <v>176</v>
      </c>
      <c r="KF8" s="81" t="s">
        <v>177</v>
      </c>
      <c r="KG8" s="81" t="s">
        <v>178</v>
      </c>
      <c r="KH8" s="80" t="s">
        <v>179</v>
      </c>
      <c r="KI8" s="71" t="s">
        <v>180</v>
      </c>
      <c r="KJ8" s="81" t="s">
        <v>181</v>
      </c>
      <c r="KK8" s="71" t="s">
        <v>182</v>
      </c>
      <c r="KL8" s="81" t="s">
        <v>183</v>
      </c>
      <c r="KM8" s="82" t="s">
        <v>184</v>
      </c>
      <c r="KN8" s="80" t="s">
        <v>185</v>
      </c>
      <c r="KO8" s="71" t="s">
        <v>186</v>
      </c>
      <c r="KP8" s="81" t="s">
        <v>187</v>
      </c>
      <c r="KQ8" s="71" t="s">
        <v>188</v>
      </c>
      <c r="KR8" s="81" t="s">
        <v>189</v>
      </c>
      <c r="KS8" s="81" t="s">
        <v>190</v>
      </c>
      <c r="KT8" s="80" t="s">
        <v>191</v>
      </c>
      <c r="KU8" s="71" t="s">
        <v>192</v>
      </c>
      <c r="KV8" s="81" t="s">
        <v>193</v>
      </c>
      <c r="KW8" s="71" t="s">
        <v>194</v>
      </c>
      <c r="KX8" s="81" t="s">
        <v>195</v>
      </c>
      <c r="KY8" s="81" t="s">
        <v>196</v>
      </c>
      <c r="KZ8" s="80" t="s">
        <v>197</v>
      </c>
      <c r="LA8" s="71" t="s">
        <v>352</v>
      </c>
      <c r="LB8" s="81" t="s">
        <v>198</v>
      </c>
      <c r="LC8" s="71" t="s">
        <v>199</v>
      </c>
      <c r="LD8" s="81" t="s">
        <v>200</v>
      </c>
      <c r="LE8" s="81" t="s">
        <v>201</v>
      </c>
      <c r="LF8" s="80" t="s">
        <v>202</v>
      </c>
      <c r="LG8" s="71" t="s">
        <v>203</v>
      </c>
      <c r="LH8" s="81" t="s">
        <v>204</v>
      </c>
      <c r="LI8" s="71" t="s">
        <v>205</v>
      </c>
      <c r="LJ8" s="81" t="s">
        <v>206</v>
      </c>
      <c r="LK8" s="81" t="s">
        <v>207</v>
      </c>
      <c r="LL8" s="80" t="s">
        <v>208</v>
      </c>
      <c r="LM8" s="71" t="s">
        <v>209</v>
      </c>
      <c r="LN8" s="81" t="s">
        <v>210</v>
      </c>
      <c r="LO8" s="71" t="s">
        <v>211</v>
      </c>
      <c r="LP8" s="81" t="s">
        <v>212</v>
      </c>
      <c r="LQ8" s="81" t="s">
        <v>213</v>
      </c>
      <c r="LR8" s="80" t="s">
        <v>214</v>
      </c>
      <c r="LS8" s="71" t="s">
        <v>215</v>
      </c>
      <c r="LT8" s="81" t="s">
        <v>216</v>
      </c>
      <c r="LU8" s="71" t="s">
        <v>217</v>
      </c>
      <c r="LV8" s="81" t="s">
        <v>218</v>
      </c>
      <c r="LW8" s="73" t="s">
        <v>219</v>
      </c>
      <c r="LX8" s="81" t="s">
        <v>220</v>
      </c>
      <c r="LY8" s="71" t="s">
        <v>221</v>
      </c>
      <c r="LZ8" s="71" t="s">
        <v>222</v>
      </c>
      <c r="MA8" s="71" t="s">
        <v>223</v>
      </c>
      <c r="MB8" s="71" t="s">
        <v>224</v>
      </c>
      <c r="MC8" s="73" t="s">
        <v>225</v>
      </c>
      <c r="MD8" s="81" t="s">
        <v>226</v>
      </c>
      <c r="ME8" s="71" t="s">
        <v>227</v>
      </c>
      <c r="MF8" s="71" t="s">
        <v>228</v>
      </c>
      <c r="MG8" s="71" t="s">
        <v>229</v>
      </c>
      <c r="MH8" s="71" t="s">
        <v>230</v>
      </c>
      <c r="MI8" s="73" t="s">
        <v>231</v>
      </c>
      <c r="MJ8" s="81" t="s">
        <v>232</v>
      </c>
      <c r="MK8" s="71" t="s">
        <v>233</v>
      </c>
      <c r="ML8" s="71" t="s">
        <v>234</v>
      </c>
      <c r="MM8" s="71" t="s">
        <v>235</v>
      </c>
      <c r="MN8" s="71" t="s">
        <v>236</v>
      </c>
      <c r="MO8" s="73" t="s">
        <v>237</v>
      </c>
      <c r="MP8" s="81" t="s">
        <v>238</v>
      </c>
      <c r="MQ8" s="71" t="s">
        <v>239</v>
      </c>
      <c r="MR8" s="71" t="s">
        <v>240</v>
      </c>
      <c r="MS8" s="71" t="s">
        <v>241</v>
      </c>
      <c r="MT8" s="71" t="s">
        <v>242</v>
      </c>
      <c r="MU8" s="73" t="s">
        <v>243</v>
      </c>
      <c r="MV8" s="81" t="s">
        <v>244</v>
      </c>
      <c r="MW8" s="71" t="s">
        <v>245</v>
      </c>
      <c r="MX8" s="71" t="s">
        <v>246</v>
      </c>
      <c r="MY8" s="71" t="s">
        <v>247</v>
      </c>
      <c r="MZ8" s="71" t="s">
        <v>248</v>
      </c>
      <c r="NA8" s="73" t="s">
        <v>249</v>
      </c>
      <c r="NB8" s="81" t="s">
        <v>250</v>
      </c>
      <c r="NC8" s="71" t="s">
        <v>251</v>
      </c>
      <c r="ND8" s="71" t="s">
        <v>252</v>
      </c>
      <c r="NE8" s="71" t="s">
        <v>253</v>
      </c>
      <c r="NF8" s="71" t="s">
        <v>254</v>
      </c>
      <c r="NG8" s="73" t="s">
        <v>255</v>
      </c>
      <c r="NH8" s="81" t="s">
        <v>256</v>
      </c>
      <c r="NI8" s="71" t="s">
        <v>257</v>
      </c>
      <c r="NJ8" s="71" t="s">
        <v>258</v>
      </c>
      <c r="NK8" s="71" t="s">
        <v>259</v>
      </c>
      <c r="NL8" s="71" t="s">
        <v>260</v>
      </c>
      <c r="NM8" s="73" t="s">
        <v>261</v>
      </c>
      <c r="NN8" s="81" t="s">
        <v>262</v>
      </c>
      <c r="NO8" s="71" t="s">
        <v>263</v>
      </c>
      <c r="NP8" s="71" t="s">
        <v>264</v>
      </c>
      <c r="NQ8" s="71" t="s">
        <v>265</v>
      </c>
      <c r="NR8" s="71" t="s">
        <v>266</v>
      </c>
      <c r="NS8" s="73" t="s">
        <v>267</v>
      </c>
      <c r="NT8" s="81" t="s">
        <v>268</v>
      </c>
      <c r="NU8" s="71" t="s">
        <v>269</v>
      </c>
      <c r="NV8" s="71" t="s">
        <v>270</v>
      </c>
      <c r="NW8" s="71" t="s">
        <v>271</v>
      </c>
      <c r="NX8" s="71" t="s">
        <v>272</v>
      </c>
      <c r="NY8" s="73" t="s">
        <v>273</v>
      </c>
      <c r="NZ8" s="81" t="s">
        <v>274</v>
      </c>
      <c r="OA8" s="71" t="s">
        <v>275</v>
      </c>
      <c r="OB8" s="71" t="s">
        <v>276</v>
      </c>
      <c r="OC8" s="71" t="s">
        <v>277</v>
      </c>
      <c r="OD8" s="71" t="s">
        <v>278</v>
      </c>
      <c r="OE8" s="73" t="s">
        <v>279</v>
      </c>
      <c r="OF8" s="81" t="s">
        <v>280</v>
      </c>
      <c r="OG8" s="71" t="s">
        <v>281</v>
      </c>
      <c r="OH8" s="71" t="s">
        <v>282</v>
      </c>
      <c r="OI8" s="71" t="s">
        <v>283</v>
      </c>
      <c r="OJ8" s="71" t="s">
        <v>284</v>
      </c>
      <c r="OK8" s="73" t="s">
        <v>285</v>
      </c>
      <c r="OL8" s="81" t="s">
        <v>286</v>
      </c>
      <c r="OM8" s="71" t="s">
        <v>287</v>
      </c>
      <c r="ON8" s="71" t="s">
        <v>288</v>
      </c>
      <c r="OO8" s="71" t="s">
        <v>289</v>
      </c>
      <c r="OP8" s="71" t="s">
        <v>290</v>
      </c>
      <c r="OQ8" s="73" t="s">
        <v>291</v>
      </c>
      <c r="OR8" s="81" t="s">
        <v>292</v>
      </c>
      <c r="OS8" s="71" t="s">
        <v>293</v>
      </c>
      <c r="OT8" s="71" t="s">
        <v>294</v>
      </c>
      <c r="OU8" s="71" t="s">
        <v>295</v>
      </c>
      <c r="OV8" s="71" t="s">
        <v>296</v>
      </c>
      <c r="OW8" s="73" t="s">
        <v>297</v>
      </c>
      <c r="OX8" s="81" t="s">
        <v>298</v>
      </c>
      <c r="OY8" s="71" t="s">
        <v>299</v>
      </c>
      <c r="OZ8" s="71" t="s">
        <v>300</v>
      </c>
      <c r="PA8" s="71" t="s">
        <v>301</v>
      </c>
      <c r="PB8" s="71" t="s">
        <v>302</v>
      </c>
      <c r="PC8" s="73" t="s">
        <v>303</v>
      </c>
      <c r="PD8" s="81" t="s">
        <v>304</v>
      </c>
      <c r="PE8" s="71" t="s">
        <v>305</v>
      </c>
      <c r="PF8" s="71" t="s">
        <v>306</v>
      </c>
      <c r="PG8" s="71" t="s">
        <v>307</v>
      </c>
      <c r="PH8" s="71" t="s">
        <v>308</v>
      </c>
      <c r="PI8" s="73" t="s">
        <v>309</v>
      </c>
      <c r="PJ8" s="81" t="s">
        <v>310</v>
      </c>
      <c r="PK8" s="71" t="s">
        <v>311</v>
      </c>
      <c r="PL8" s="71" t="s">
        <v>312</v>
      </c>
      <c r="PM8" s="71" t="s">
        <v>313</v>
      </c>
      <c r="PN8" s="71" t="s">
        <v>314</v>
      </c>
      <c r="PO8" s="73" t="s">
        <v>315</v>
      </c>
      <c r="PP8" s="81" t="s">
        <v>316</v>
      </c>
      <c r="PQ8" s="71" t="s">
        <v>317</v>
      </c>
      <c r="PR8" s="71" t="s">
        <v>318</v>
      </c>
      <c r="PS8" s="71" t="s">
        <v>319</v>
      </c>
      <c r="PT8" s="71" t="s">
        <v>320</v>
      </c>
      <c r="PU8" s="73" t="s">
        <v>321</v>
      </c>
      <c r="PV8" s="682" t="s">
        <v>322</v>
      </c>
      <c r="PW8" s="683"/>
      <c r="PX8" s="683"/>
      <c r="PY8" s="683"/>
      <c r="PZ8" s="683"/>
      <c r="QA8" s="684"/>
      <c r="QB8" s="685" t="s">
        <v>323</v>
      </c>
      <c r="QC8" s="686"/>
      <c r="QD8" s="686"/>
      <c r="QE8" s="686"/>
      <c r="QF8" s="686"/>
      <c r="QG8" s="687"/>
      <c r="QH8" s="688" t="s">
        <v>324</v>
      </c>
      <c r="QI8" s="689"/>
      <c r="QJ8" s="689"/>
      <c r="QK8" s="689"/>
      <c r="QL8" s="689"/>
      <c r="QM8" s="690"/>
      <c r="QN8" s="691" t="s">
        <v>325</v>
      </c>
      <c r="QO8" s="692"/>
      <c r="QP8" s="693" t="s">
        <v>326</v>
      </c>
      <c r="QQ8" s="694"/>
      <c r="QR8" s="675" t="s">
        <v>327</v>
      </c>
      <c r="QS8" s="676"/>
      <c r="QT8" s="672" t="s">
        <v>328</v>
      </c>
      <c r="QU8" s="673"/>
      <c r="QV8" s="673"/>
      <c r="QW8" s="674"/>
      <c r="QX8" s="672" t="s">
        <v>329</v>
      </c>
      <c r="QY8" s="674"/>
      <c r="QZ8" s="672" t="s">
        <v>330</v>
      </c>
      <c r="RA8" s="674"/>
      <c r="RB8" s="677" t="s">
        <v>331</v>
      </c>
      <c r="RC8" s="678"/>
      <c r="RD8" s="677" t="s">
        <v>328</v>
      </c>
      <c r="RE8" s="679"/>
      <c r="RF8" s="679"/>
      <c r="RG8" s="679"/>
      <c r="RH8" s="679"/>
      <c r="RI8" s="679"/>
      <c r="RJ8" s="679"/>
      <c r="RK8" s="678"/>
      <c r="RL8" s="672" t="s">
        <v>329</v>
      </c>
      <c r="RM8" s="674"/>
      <c r="RN8" s="672" t="s">
        <v>330</v>
      </c>
      <c r="RO8" s="674"/>
      <c r="RP8" s="677" t="s">
        <v>332</v>
      </c>
      <c r="RQ8" s="678"/>
      <c r="RR8" s="677" t="s">
        <v>328</v>
      </c>
      <c r="RS8" s="679"/>
      <c r="RT8" s="679"/>
      <c r="RU8" s="679"/>
      <c r="RV8" s="679"/>
      <c r="RW8" s="679"/>
      <c r="RX8" s="679"/>
      <c r="RY8" s="679"/>
      <c r="RZ8" s="679"/>
      <c r="SA8" s="679"/>
      <c r="SB8" s="678"/>
      <c r="SC8" s="672" t="s">
        <v>329</v>
      </c>
      <c r="SD8" s="673"/>
      <c r="SE8" s="674"/>
      <c r="SF8" s="672" t="s">
        <v>330</v>
      </c>
      <c r="SG8" s="673"/>
      <c r="SH8" s="674"/>
      <c r="SI8" s="677" t="s">
        <v>333</v>
      </c>
      <c r="SJ8" s="678"/>
      <c r="SK8" s="677" t="s">
        <v>328</v>
      </c>
      <c r="SL8" s="679"/>
      <c r="SM8" s="679"/>
      <c r="SN8" s="679"/>
      <c r="SO8" s="679"/>
      <c r="SP8" s="679"/>
      <c r="SQ8" s="679"/>
      <c r="SR8" s="679"/>
      <c r="SS8" s="679"/>
      <c r="ST8" s="679"/>
      <c r="SU8" s="679"/>
      <c r="SV8" s="679"/>
      <c r="SW8" s="678"/>
      <c r="SX8" s="672" t="s">
        <v>329</v>
      </c>
      <c r="SY8" s="673"/>
      <c r="SZ8" s="674"/>
      <c r="TA8" s="672" t="s">
        <v>330</v>
      </c>
      <c r="TB8" s="673"/>
      <c r="TC8" s="673"/>
      <c r="TD8" s="674"/>
      <c r="TE8" s="677" t="s">
        <v>334</v>
      </c>
      <c r="TF8" s="678"/>
      <c r="TG8" s="677" t="s">
        <v>328</v>
      </c>
      <c r="TH8" s="679"/>
      <c r="TI8" s="679"/>
      <c r="TJ8" s="679"/>
      <c r="TK8" s="679"/>
      <c r="TL8" s="679"/>
      <c r="TM8" s="679"/>
      <c r="TN8" s="679"/>
      <c r="TO8" s="679"/>
      <c r="TP8" s="679"/>
      <c r="TQ8" s="679"/>
      <c r="TR8" s="679"/>
      <c r="TS8" s="679"/>
      <c r="TT8" s="679"/>
      <c r="TU8" s="679"/>
      <c r="TV8" s="678"/>
      <c r="TW8" s="702" t="s">
        <v>322</v>
      </c>
      <c r="TX8" s="703"/>
      <c r="TY8" s="704" t="s">
        <v>323</v>
      </c>
      <c r="TZ8" s="705"/>
      <c r="UA8" s="706" t="s">
        <v>324</v>
      </c>
      <c r="UB8" s="707"/>
      <c r="UC8" s="708" t="s">
        <v>335</v>
      </c>
      <c r="UD8" s="709"/>
      <c r="UE8" s="709"/>
      <c r="UF8" s="709"/>
      <c r="UG8" s="709"/>
      <c r="UH8" s="709"/>
      <c r="UI8" s="709"/>
      <c r="UJ8" s="709"/>
      <c r="UK8" s="709"/>
      <c r="UL8" s="710"/>
      <c r="UM8" s="711" t="s">
        <v>336</v>
      </c>
      <c r="UN8" s="712"/>
      <c r="UO8" s="712"/>
      <c r="UP8" s="712"/>
      <c r="UQ8" s="712"/>
      <c r="UR8" s="712"/>
      <c r="US8" s="712"/>
      <c r="UT8" s="712"/>
      <c r="UU8" s="712"/>
      <c r="UV8" s="713"/>
      <c r="UW8" s="714" t="s">
        <v>337</v>
      </c>
      <c r="UX8" s="715"/>
      <c r="UY8" s="715"/>
      <c r="UZ8" s="715"/>
      <c r="VA8" s="715"/>
      <c r="VB8" s="715"/>
      <c r="VC8" s="715"/>
      <c r="VD8" s="715"/>
      <c r="VE8" s="715"/>
      <c r="VF8" s="716"/>
      <c r="VG8" s="696" t="s">
        <v>338</v>
      </c>
      <c r="VH8" s="697"/>
      <c r="VI8" s="697"/>
      <c r="VJ8" s="697"/>
      <c r="VK8" s="697"/>
      <c r="VL8" s="697"/>
      <c r="VM8" s="697"/>
      <c r="VN8" s="697"/>
      <c r="VO8" s="697"/>
      <c r="VP8" s="698"/>
      <c r="VQ8" s="699" t="s">
        <v>339</v>
      </c>
      <c r="VR8" s="700"/>
      <c r="VS8" s="700"/>
      <c r="VT8" s="700"/>
      <c r="VU8" s="700"/>
      <c r="VV8" s="700"/>
      <c r="VW8" s="700"/>
      <c r="VX8" s="700"/>
      <c r="VY8" s="700"/>
      <c r="VZ8" s="700"/>
      <c r="WA8" s="700"/>
      <c r="WB8" s="700"/>
      <c r="WC8" s="700"/>
      <c r="WD8" s="700"/>
      <c r="WE8" s="700"/>
      <c r="WF8" s="700"/>
      <c r="WG8" s="700"/>
      <c r="WH8" s="700"/>
      <c r="WI8" s="700"/>
      <c r="WJ8" s="700"/>
      <c r="WK8" s="700"/>
      <c r="WL8" s="700"/>
      <c r="WM8" s="700"/>
      <c r="WN8" s="701"/>
      <c r="WO8" s="83" t="s">
        <v>340</v>
      </c>
      <c r="WP8" s="84"/>
      <c r="WQ8" s="702" t="s">
        <v>322</v>
      </c>
      <c r="WR8" s="703"/>
      <c r="WS8" s="704" t="s">
        <v>323</v>
      </c>
      <c r="WT8" s="705"/>
      <c r="WU8" s="706" t="s">
        <v>324</v>
      </c>
      <c r="WV8" s="707"/>
      <c r="WW8" s="85" t="s">
        <v>341</v>
      </c>
      <c r="WX8" s="76" t="s">
        <v>112</v>
      </c>
      <c r="WY8" s="680" t="s">
        <v>118</v>
      </c>
      <c r="WZ8" s="681"/>
      <c r="XA8" s="681"/>
      <c r="XB8" s="76" t="s">
        <v>112</v>
      </c>
      <c r="XC8" s="59" t="s">
        <v>60</v>
      </c>
      <c r="XD8" s="68"/>
      <c r="XE8" s="57"/>
    </row>
    <row r="9" spans="1:629" s="2" customFormat="1" ht="18" hidden="1" x14ac:dyDescent="0.3">
      <c r="A9" s="423" t="s">
        <v>359</v>
      </c>
      <c r="B9" s="465" t="s">
        <v>342</v>
      </c>
      <c r="C9" s="462">
        <v>35781</v>
      </c>
      <c r="D9" s="110">
        <v>39722</v>
      </c>
      <c r="E9" s="111">
        <v>42532</v>
      </c>
      <c r="F9" s="111"/>
      <c r="G9" s="113">
        <v>19</v>
      </c>
      <c r="H9" s="340"/>
      <c r="I9" s="342"/>
      <c r="J9" s="386"/>
      <c r="K9" s="337"/>
      <c r="L9" s="342"/>
      <c r="M9" s="429"/>
      <c r="N9" s="430"/>
      <c r="O9" s="430"/>
      <c r="P9" s="431"/>
      <c r="Q9" s="432"/>
      <c r="R9" s="432"/>
      <c r="S9" s="433"/>
      <c r="T9" s="434"/>
      <c r="U9" s="430"/>
      <c r="V9" s="454"/>
      <c r="W9" s="455"/>
      <c r="X9" s="430"/>
      <c r="Y9" s="430"/>
      <c r="Z9" s="342"/>
      <c r="AA9" s="342" t="s">
        <v>349</v>
      </c>
      <c r="AB9" s="355"/>
      <c r="AC9" s="355"/>
      <c r="AD9" s="355"/>
      <c r="AE9" s="387"/>
      <c r="AF9" s="358"/>
      <c r="AG9" s="339"/>
      <c r="AH9" s="338"/>
      <c r="AI9" s="339"/>
      <c r="AJ9" s="339"/>
      <c r="AK9" s="339"/>
      <c r="AL9" s="339"/>
      <c r="AM9" s="339"/>
      <c r="AN9" s="355"/>
      <c r="AO9" s="355"/>
      <c r="AP9" s="355"/>
      <c r="AQ9" s="356"/>
      <c r="AR9" s="340"/>
      <c r="AS9" s="342"/>
      <c r="AT9" s="386"/>
      <c r="AU9" s="339"/>
      <c r="AV9" s="342"/>
      <c r="AW9" s="342"/>
      <c r="AX9" s="342"/>
      <c r="AY9" s="342"/>
      <c r="AZ9" s="355"/>
      <c r="BA9" s="355"/>
      <c r="BB9" s="355"/>
      <c r="BC9" s="387"/>
      <c r="BD9" s="340"/>
      <c r="BE9" s="342"/>
      <c r="BF9" s="386"/>
      <c r="BG9" s="337"/>
      <c r="BH9" s="342"/>
      <c r="BI9" s="342"/>
      <c r="BJ9" s="342"/>
      <c r="BK9" s="342"/>
      <c r="BL9" s="355"/>
      <c r="BM9" s="355"/>
      <c r="BN9" s="86"/>
      <c r="BO9" s="189"/>
      <c r="BP9" s="340"/>
      <c r="BQ9" s="342"/>
      <c r="BR9" s="386"/>
      <c r="BS9" s="337"/>
      <c r="BT9" s="342"/>
      <c r="BU9" s="342"/>
      <c r="BV9" s="342"/>
      <c r="BW9" s="342"/>
      <c r="BX9" s="355"/>
      <c r="BY9" s="355"/>
      <c r="BZ9" s="86"/>
      <c r="CA9" s="189"/>
      <c r="CB9" s="340"/>
      <c r="CC9" s="342"/>
      <c r="CD9" s="386"/>
      <c r="CE9" s="337"/>
      <c r="CF9" s="342"/>
      <c r="CG9" s="342"/>
      <c r="CH9" s="342"/>
      <c r="CI9" s="342"/>
      <c r="CJ9" s="355"/>
      <c r="CK9" s="355"/>
      <c r="CL9" s="86"/>
      <c r="CM9" s="189"/>
      <c r="CN9" s="340"/>
      <c r="CO9" s="342"/>
      <c r="CP9" s="386"/>
      <c r="CQ9" s="337"/>
      <c r="CR9" s="342"/>
      <c r="CS9" s="342"/>
      <c r="CT9" s="342"/>
      <c r="CU9" s="342"/>
      <c r="CV9" s="355"/>
      <c r="CW9" s="355"/>
      <c r="CX9" s="86"/>
      <c r="CY9" s="189"/>
      <c r="CZ9" s="340"/>
      <c r="DA9" s="342"/>
      <c r="DB9" s="386"/>
      <c r="DC9" s="337"/>
      <c r="DD9" s="342"/>
      <c r="DE9" s="342"/>
      <c r="DF9" s="342"/>
      <c r="DG9" s="342"/>
      <c r="DH9" s="355"/>
      <c r="DI9" s="355"/>
      <c r="DJ9" s="86"/>
      <c r="DK9" s="189"/>
      <c r="DL9" s="88"/>
      <c r="DM9" s="89"/>
      <c r="DN9" s="423" t="s">
        <v>359</v>
      </c>
      <c r="DO9" s="426" t="str">
        <f>B9</f>
        <v>Rover</v>
      </c>
      <c r="DP9" s="111">
        <v>35781</v>
      </c>
      <c r="DQ9" s="116">
        <f t="shared" ref="DQ9:DR16" si="0">D9</f>
        <v>39722</v>
      </c>
      <c r="DR9" s="116">
        <f t="shared" si="0"/>
        <v>42532</v>
      </c>
      <c r="DS9" s="117">
        <f ca="1">(YEAR(NOW())-YEAR(DQ9))*12+MONTH(NOW())-MONTH(DQ9)</f>
        <v>213</v>
      </c>
      <c r="DT9" s="471"/>
      <c r="DU9" s="472"/>
      <c r="DV9" s="472"/>
      <c r="DW9" s="473"/>
      <c r="DX9" s="472"/>
      <c r="DY9" s="472"/>
      <c r="DZ9" s="473"/>
      <c r="EA9" s="473"/>
      <c r="EB9" s="474"/>
      <c r="EC9" s="475"/>
      <c r="ED9" s="116">
        <v>39783</v>
      </c>
      <c r="EE9" s="123">
        <v>42637</v>
      </c>
      <c r="EF9" s="439"/>
      <c r="EG9" s="440"/>
      <c r="EH9" s="436"/>
      <c r="EI9" s="440"/>
      <c r="EJ9" s="436"/>
      <c r="EK9" s="438"/>
      <c r="EL9" s="438"/>
      <c r="EM9" s="438"/>
      <c r="EN9" s="441"/>
      <c r="EO9" s="441"/>
      <c r="EP9" s="441"/>
      <c r="EQ9" s="479"/>
      <c r="ER9" s="480"/>
      <c r="ES9" s="441"/>
      <c r="ET9" s="442"/>
      <c r="EU9" s="130"/>
      <c r="EV9" s="443"/>
      <c r="EW9" s="371"/>
      <c r="EX9" s="371"/>
      <c r="EY9" s="371"/>
      <c r="EZ9" s="371"/>
      <c r="FA9" s="477"/>
      <c r="FB9" s="478"/>
      <c r="FC9" s="477"/>
      <c r="FD9" s="341"/>
      <c r="FE9" s="341"/>
      <c r="FF9" s="341"/>
      <c r="FG9" s="341"/>
      <c r="FH9" s="391"/>
      <c r="FI9" s="371"/>
      <c r="FJ9" s="444"/>
      <c r="FK9" s="111"/>
      <c r="FL9" s="409"/>
      <c r="FM9" s="393"/>
      <c r="FN9" s="396"/>
      <c r="FO9" s="396">
        <f>QE9</f>
        <v>0</v>
      </c>
      <c r="FP9" s="395">
        <f>QI9</f>
        <v>0</v>
      </c>
      <c r="FQ9" s="393"/>
      <c r="FR9" s="364"/>
      <c r="FS9" s="410"/>
      <c r="FT9" s="364">
        <f>SJ9</f>
        <v>0</v>
      </c>
      <c r="FU9" s="396"/>
      <c r="FV9" s="396"/>
      <c r="FW9" s="396"/>
      <c r="FX9" s="396"/>
      <c r="FY9" s="364"/>
      <c r="FZ9" s="411"/>
      <c r="GA9" s="397"/>
      <c r="GB9" s="110"/>
      <c r="GC9" s="132">
        <f>WX9</f>
        <v>0</v>
      </c>
      <c r="GD9" s="126">
        <f>XB9</f>
        <v>0</v>
      </c>
      <c r="GE9" s="125">
        <f>QK9</f>
        <v>0</v>
      </c>
      <c r="GF9" s="126">
        <f>WN9</f>
        <v>0</v>
      </c>
      <c r="GG9" s="127">
        <f>SZ9</f>
        <v>0</v>
      </c>
      <c r="GH9" s="127">
        <f>TD9</f>
        <v>0</v>
      </c>
      <c r="GI9" s="127">
        <f>TF9</f>
        <v>0</v>
      </c>
      <c r="GJ9" s="128">
        <f>UV9</f>
        <v>0</v>
      </c>
      <c r="GK9" s="128">
        <f>VF9</f>
        <v>0</v>
      </c>
      <c r="GL9" s="128">
        <f>VP9</f>
        <v>0</v>
      </c>
      <c r="GM9" s="128">
        <f>QS9</f>
        <v>0</v>
      </c>
      <c r="GN9" s="127">
        <f>TV9</f>
        <v>0</v>
      </c>
      <c r="GO9" s="133">
        <f>UB9</f>
        <v>0</v>
      </c>
      <c r="GP9" s="129">
        <f>WV9</f>
        <v>0</v>
      </c>
      <c r="GQ9" s="110"/>
      <c r="GR9" s="88"/>
      <c r="GS9" s="91"/>
      <c r="GT9" s="110" t="s">
        <v>359</v>
      </c>
      <c r="GU9" s="90" t="str">
        <f>B9</f>
        <v>Rover</v>
      </c>
      <c r="GV9" s="456"/>
      <c r="GW9" s="457"/>
      <c r="GX9" s="457"/>
      <c r="GY9" s="457"/>
      <c r="GZ9" s="457"/>
      <c r="HA9" s="457"/>
      <c r="HB9" s="457"/>
      <c r="HC9" s="457"/>
      <c r="HD9" s="457"/>
      <c r="HE9" s="469">
        <v>43374</v>
      </c>
      <c r="HF9" s="135">
        <f>EE9</f>
        <v>42637</v>
      </c>
      <c r="HG9" s="136">
        <f>COUNTIF(HZ9:LW9,"X")</f>
        <v>47</v>
      </c>
      <c r="HH9" s="137"/>
      <c r="HI9" s="136">
        <f>COUNTIF(LX9:PU9,"X")</f>
        <v>32</v>
      </c>
      <c r="HJ9" s="137"/>
      <c r="HK9" s="135">
        <f>EU9</f>
        <v>0</v>
      </c>
      <c r="HL9" s="136">
        <f>COUNTIF(HZ9:LW9,"X")-12</f>
        <v>35</v>
      </c>
      <c r="HM9" s="137"/>
      <c r="HN9" s="136">
        <f>COUNTIF(LX9:PU9,"X")-9</f>
        <v>23</v>
      </c>
      <c r="HO9" s="137"/>
      <c r="HP9" s="138">
        <f>FK9</f>
        <v>0</v>
      </c>
      <c r="HQ9" s="136">
        <f>COUNTIF(HZ9:LW9,"X")-21</f>
        <v>26</v>
      </c>
      <c r="HR9" s="137"/>
      <c r="HS9" s="136">
        <f>COUNTIF(LX9:PU9,"X")-15</f>
        <v>17</v>
      </c>
      <c r="HT9" s="139"/>
      <c r="HU9" s="95"/>
      <c r="HV9" s="95"/>
      <c r="HW9" s="95"/>
      <c r="HX9" s="140"/>
      <c r="HY9" s="135">
        <f>GB9</f>
        <v>0</v>
      </c>
      <c r="HZ9" s="340" t="s">
        <v>348</v>
      </c>
      <c r="IA9" s="337" t="s">
        <v>348</v>
      </c>
      <c r="IB9" s="340" t="s">
        <v>348</v>
      </c>
      <c r="IC9" s="337" t="s">
        <v>348</v>
      </c>
      <c r="ID9" s="337"/>
      <c r="IE9" s="388" t="s">
        <v>348</v>
      </c>
      <c r="IF9" s="340" t="s">
        <v>348</v>
      </c>
      <c r="IG9" s="337" t="s">
        <v>348</v>
      </c>
      <c r="IH9" s="340" t="s">
        <v>348</v>
      </c>
      <c r="II9" s="337"/>
      <c r="IJ9" s="337" t="s">
        <v>348</v>
      </c>
      <c r="IK9" s="388" t="s">
        <v>348</v>
      </c>
      <c r="IL9" s="340" t="s">
        <v>348</v>
      </c>
      <c r="IM9" s="337" t="s">
        <v>348</v>
      </c>
      <c r="IN9" s="141" t="s">
        <v>348</v>
      </c>
      <c r="IO9" s="142"/>
      <c r="IP9" s="142"/>
      <c r="IQ9" s="121" t="s">
        <v>348</v>
      </c>
      <c r="IR9" s="340" t="s">
        <v>348</v>
      </c>
      <c r="IS9" s="337" t="s">
        <v>348</v>
      </c>
      <c r="IT9" s="340" t="s">
        <v>348</v>
      </c>
      <c r="IU9" s="337"/>
      <c r="IV9" s="337"/>
      <c r="IW9" s="388"/>
      <c r="IX9" s="340" t="s">
        <v>348</v>
      </c>
      <c r="IY9" s="337" t="s">
        <v>348</v>
      </c>
      <c r="IZ9" s="340" t="s">
        <v>348</v>
      </c>
      <c r="JA9" s="337" t="s">
        <v>348</v>
      </c>
      <c r="JB9" s="337"/>
      <c r="JC9" s="388" t="s">
        <v>348</v>
      </c>
      <c r="JD9" s="340" t="s">
        <v>348</v>
      </c>
      <c r="JE9" s="337"/>
      <c r="JF9" s="340"/>
      <c r="JG9" s="337" t="s">
        <v>348</v>
      </c>
      <c r="JH9" s="337"/>
      <c r="JI9" s="390"/>
      <c r="JJ9" s="383" t="s">
        <v>348</v>
      </c>
      <c r="JK9" s="337" t="s">
        <v>348</v>
      </c>
      <c r="JL9" s="340"/>
      <c r="JM9" s="337"/>
      <c r="JN9" s="337" t="s">
        <v>348</v>
      </c>
      <c r="JO9" s="388"/>
      <c r="JP9" s="340"/>
      <c r="JQ9" s="142"/>
      <c r="JR9" s="141" t="s">
        <v>348</v>
      </c>
      <c r="JS9" s="142" t="s">
        <v>348</v>
      </c>
      <c r="JT9" s="142"/>
      <c r="JU9" s="390"/>
      <c r="JV9" s="383"/>
      <c r="JW9" s="337"/>
      <c r="JX9" s="340"/>
      <c r="JY9" s="337"/>
      <c r="JZ9" s="337"/>
      <c r="KA9" s="388"/>
      <c r="KB9" s="340" t="s">
        <v>348</v>
      </c>
      <c r="KC9" s="337"/>
      <c r="KD9" s="340"/>
      <c r="KE9" s="337" t="s">
        <v>348</v>
      </c>
      <c r="KF9" s="337"/>
      <c r="KG9" s="390" t="s">
        <v>348</v>
      </c>
      <c r="KH9" s="383" t="s">
        <v>348</v>
      </c>
      <c r="KI9" s="337"/>
      <c r="KJ9" s="340" t="s">
        <v>348</v>
      </c>
      <c r="KK9" s="337" t="s">
        <v>348</v>
      </c>
      <c r="KL9" s="337"/>
      <c r="KM9" s="388"/>
      <c r="KN9" s="340" t="s">
        <v>348</v>
      </c>
      <c r="KO9" s="337" t="s">
        <v>348</v>
      </c>
      <c r="KP9" s="340" t="s">
        <v>348</v>
      </c>
      <c r="KQ9" s="337" t="s">
        <v>348</v>
      </c>
      <c r="KR9" s="337" t="s">
        <v>348</v>
      </c>
      <c r="KS9" s="390"/>
      <c r="KT9" s="383"/>
      <c r="KU9" s="337"/>
      <c r="KV9" s="340"/>
      <c r="KW9" s="337"/>
      <c r="KX9" s="337"/>
      <c r="KY9" s="121"/>
      <c r="KZ9" s="141"/>
      <c r="LA9" s="142"/>
      <c r="LB9" s="141"/>
      <c r="LC9" s="142"/>
      <c r="LD9" s="142"/>
      <c r="LE9" s="177"/>
      <c r="LF9" s="383" t="s">
        <v>348</v>
      </c>
      <c r="LG9" s="337" t="s">
        <v>348</v>
      </c>
      <c r="LH9" s="340"/>
      <c r="LI9" s="337"/>
      <c r="LJ9" s="337" t="s">
        <v>348</v>
      </c>
      <c r="LK9" s="388"/>
      <c r="LL9" s="340"/>
      <c r="LM9" s="337"/>
      <c r="LN9" s="340" t="s">
        <v>348</v>
      </c>
      <c r="LO9" s="337"/>
      <c r="LP9" s="337" t="s">
        <v>348</v>
      </c>
      <c r="LQ9" s="390" t="s">
        <v>348</v>
      </c>
      <c r="LR9" s="383"/>
      <c r="LS9" s="337" t="s">
        <v>348</v>
      </c>
      <c r="LT9" s="340"/>
      <c r="LU9" s="337"/>
      <c r="LV9" s="337"/>
      <c r="LW9" s="388"/>
      <c r="LX9" s="384"/>
      <c r="LY9" s="337" t="s">
        <v>348</v>
      </c>
      <c r="LZ9" s="384" t="s">
        <v>348</v>
      </c>
      <c r="MA9" s="337"/>
      <c r="MB9" s="384" t="s">
        <v>348</v>
      </c>
      <c r="MC9" s="388"/>
      <c r="MD9" s="384" t="s">
        <v>348</v>
      </c>
      <c r="ME9" s="337" t="s">
        <v>348</v>
      </c>
      <c r="MF9" s="384" t="s">
        <v>348</v>
      </c>
      <c r="MG9" s="337"/>
      <c r="MH9" s="384" t="s">
        <v>348</v>
      </c>
      <c r="MI9" s="388"/>
      <c r="MJ9" s="384" t="s">
        <v>348</v>
      </c>
      <c r="MK9" s="337" t="s">
        <v>348</v>
      </c>
      <c r="ML9" s="384" t="s">
        <v>348</v>
      </c>
      <c r="MM9" s="142"/>
      <c r="MN9" s="143"/>
      <c r="MO9" s="121" t="s">
        <v>348</v>
      </c>
      <c r="MP9" s="143" t="s">
        <v>348</v>
      </c>
      <c r="MQ9" s="337"/>
      <c r="MR9" s="384" t="s">
        <v>348</v>
      </c>
      <c r="MS9" s="337"/>
      <c r="MT9" s="384" t="s">
        <v>348</v>
      </c>
      <c r="MU9" s="388"/>
      <c r="MV9" s="384"/>
      <c r="MW9" s="337"/>
      <c r="MX9" s="384" t="s">
        <v>348</v>
      </c>
      <c r="MY9" s="337"/>
      <c r="MZ9" s="384"/>
      <c r="NA9" s="388"/>
      <c r="NB9" s="384"/>
      <c r="NC9" s="337"/>
      <c r="ND9" s="384"/>
      <c r="NE9" s="337"/>
      <c r="NF9" s="384"/>
      <c r="NG9" s="388"/>
      <c r="NH9" s="384"/>
      <c r="NI9" s="337"/>
      <c r="NJ9" s="384"/>
      <c r="NK9" s="337"/>
      <c r="NL9" s="384"/>
      <c r="NM9" s="388"/>
      <c r="NN9" s="384"/>
      <c r="NO9" s="337" t="s">
        <v>348</v>
      </c>
      <c r="NP9" s="384"/>
      <c r="NQ9" s="337"/>
      <c r="NR9" s="384"/>
      <c r="NS9" s="388"/>
      <c r="NT9" s="384"/>
      <c r="NU9" s="337"/>
      <c r="NV9" s="384"/>
      <c r="NW9" s="337"/>
      <c r="NX9" s="384"/>
      <c r="NY9" s="388"/>
      <c r="NZ9" s="384"/>
      <c r="OA9" s="337"/>
      <c r="OB9" s="384" t="s">
        <v>348</v>
      </c>
      <c r="OC9" s="337"/>
      <c r="OD9" s="384"/>
      <c r="OE9" s="388" t="s">
        <v>348</v>
      </c>
      <c r="OF9" s="384"/>
      <c r="OG9" s="337"/>
      <c r="OH9" s="384"/>
      <c r="OI9" s="337"/>
      <c r="OJ9" s="384"/>
      <c r="OK9" s="388"/>
      <c r="OL9" s="384" t="s">
        <v>348</v>
      </c>
      <c r="OM9" s="337" t="s">
        <v>348</v>
      </c>
      <c r="ON9" s="384"/>
      <c r="OO9" s="337"/>
      <c r="OP9" s="384"/>
      <c r="OQ9" s="388" t="s">
        <v>348</v>
      </c>
      <c r="OR9" s="143"/>
      <c r="OS9" s="142"/>
      <c r="OT9" s="143"/>
      <c r="OU9" s="142"/>
      <c r="OV9" s="143"/>
      <c r="OW9" s="121"/>
      <c r="OX9" s="143" t="s">
        <v>348</v>
      </c>
      <c r="OY9" s="142" t="s">
        <v>348</v>
      </c>
      <c r="OZ9" s="143"/>
      <c r="PA9" s="142"/>
      <c r="PB9" s="143"/>
      <c r="PC9" s="121"/>
      <c r="PD9" s="143" t="s">
        <v>348</v>
      </c>
      <c r="PE9" s="142"/>
      <c r="PF9" s="384" t="s">
        <v>348</v>
      </c>
      <c r="PG9" s="337"/>
      <c r="PH9" s="384"/>
      <c r="PI9" s="388"/>
      <c r="PJ9" s="384" t="s">
        <v>348</v>
      </c>
      <c r="PK9" s="337" t="s">
        <v>348</v>
      </c>
      <c r="PL9" s="384" t="s">
        <v>348</v>
      </c>
      <c r="PM9" s="337"/>
      <c r="PN9" s="384" t="s">
        <v>348</v>
      </c>
      <c r="PO9" s="388" t="s">
        <v>348</v>
      </c>
      <c r="PP9" s="384"/>
      <c r="PQ9" s="337"/>
      <c r="PR9" s="384"/>
      <c r="PS9" s="337"/>
      <c r="PT9" s="384" t="s">
        <v>348</v>
      </c>
      <c r="PU9" s="388" t="s">
        <v>348</v>
      </c>
      <c r="PV9" s="445" t="s">
        <v>364</v>
      </c>
      <c r="PW9" s="101"/>
      <c r="PX9" s="446" t="s">
        <v>365</v>
      </c>
      <c r="PY9" s="101"/>
      <c r="PZ9" s="100"/>
      <c r="QA9" s="146"/>
      <c r="QB9" s="476" t="s">
        <v>364</v>
      </c>
      <c r="QC9" s="147"/>
      <c r="QD9" s="100"/>
      <c r="QE9" s="147"/>
      <c r="QF9" s="100"/>
      <c r="QG9" s="149"/>
      <c r="QH9" s="100"/>
      <c r="QI9" s="150"/>
      <c r="QJ9" s="100"/>
      <c r="QK9" s="150"/>
      <c r="QL9" s="100"/>
      <c r="QM9" s="150"/>
      <c r="QN9" s="399"/>
      <c r="QO9" s="146"/>
      <c r="QP9" s="152"/>
      <c r="QQ9" s="149"/>
      <c r="QR9" s="153"/>
      <c r="QS9" s="154"/>
      <c r="QT9" s="447"/>
      <c r="QU9" s="400"/>
      <c r="QV9" s="401"/>
      <c r="QW9" s="158"/>
      <c r="QX9" s="448" t="s">
        <v>369</v>
      </c>
      <c r="QY9" s="160"/>
      <c r="QZ9" s="435" t="s">
        <v>371</v>
      </c>
      <c r="RA9" s="160"/>
      <c r="RB9" s="159"/>
      <c r="RC9" s="160"/>
      <c r="RD9" s="448"/>
      <c r="RE9" s="402"/>
      <c r="RF9" s="402"/>
      <c r="RG9" s="403"/>
      <c r="RH9" s="403"/>
      <c r="RI9" s="403"/>
      <c r="RJ9" s="402"/>
      <c r="RK9" s="160"/>
      <c r="RL9" s="159"/>
      <c r="RM9" s="163"/>
      <c r="RN9" s="159"/>
      <c r="RO9" s="163"/>
      <c r="RP9" s="159"/>
      <c r="RQ9" s="163"/>
      <c r="RR9" s="159"/>
      <c r="RS9" s="185"/>
      <c r="RT9" s="185"/>
      <c r="RU9" s="185"/>
      <c r="RV9" s="185"/>
      <c r="RW9" s="185"/>
      <c r="RX9" s="192"/>
      <c r="RY9" s="192"/>
      <c r="RZ9" s="192"/>
      <c r="SA9" s="185"/>
      <c r="SB9" s="163"/>
      <c r="SC9" s="155"/>
      <c r="SD9" s="164"/>
      <c r="SE9" s="165"/>
      <c r="SF9" s="159"/>
      <c r="SG9" s="164"/>
      <c r="SH9" s="165"/>
      <c r="SI9" s="159"/>
      <c r="SJ9" s="165"/>
      <c r="SK9" s="159"/>
      <c r="SL9" s="185"/>
      <c r="SM9" s="185"/>
      <c r="SN9" s="185"/>
      <c r="SO9" s="185"/>
      <c r="SP9" s="185"/>
      <c r="SQ9" s="192"/>
      <c r="SR9" s="192"/>
      <c r="SS9" s="192"/>
      <c r="ST9" s="192"/>
      <c r="SU9" s="192"/>
      <c r="SV9" s="185"/>
      <c r="SW9" s="165"/>
      <c r="SX9" s="155"/>
      <c r="SY9" s="164"/>
      <c r="SZ9" s="166"/>
      <c r="TA9" s="155"/>
      <c r="TB9" s="167"/>
      <c r="TC9" s="164"/>
      <c r="TD9" s="166"/>
      <c r="TE9" s="159"/>
      <c r="TF9" s="166"/>
      <c r="TG9" s="159"/>
      <c r="TH9" s="185"/>
      <c r="TI9" s="185"/>
      <c r="TJ9" s="185"/>
      <c r="TK9" s="185"/>
      <c r="TL9" s="185"/>
      <c r="TM9" s="192"/>
      <c r="TN9" s="192"/>
      <c r="TO9" s="192"/>
      <c r="TP9" s="192"/>
      <c r="TQ9" s="192"/>
      <c r="TR9" s="192"/>
      <c r="TS9" s="192"/>
      <c r="TT9" s="192"/>
      <c r="TU9" s="185"/>
      <c r="TV9" s="166"/>
      <c r="TW9" s="151"/>
      <c r="TX9" s="146"/>
      <c r="TY9" s="152"/>
      <c r="TZ9" s="149"/>
      <c r="UA9" s="153"/>
      <c r="UB9" s="154"/>
      <c r="UC9" s="449" t="s">
        <v>366</v>
      </c>
      <c r="UD9" s="169"/>
      <c r="UE9" s="450" t="s">
        <v>367</v>
      </c>
      <c r="UF9" s="169"/>
      <c r="UG9" s="384"/>
      <c r="UH9" s="169"/>
      <c r="UI9" s="384"/>
      <c r="UJ9" s="169"/>
      <c r="UK9" s="384"/>
      <c r="UL9" s="170"/>
      <c r="UM9" s="451" t="s">
        <v>367</v>
      </c>
      <c r="UN9" s="171"/>
      <c r="UO9" s="435" t="s">
        <v>372</v>
      </c>
      <c r="UP9" s="171"/>
      <c r="UQ9" s="143"/>
      <c r="UR9" s="171"/>
      <c r="US9" s="143"/>
      <c r="UT9" s="171"/>
      <c r="UU9" s="143"/>
      <c r="UV9" s="172"/>
      <c r="UW9" s="143"/>
      <c r="UX9" s="173"/>
      <c r="UY9" s="143"/>
      <c r="UZ9" s="173"/>
      <c r="VA9" s="143"/>
      <c r="VB9" s="173"/>
      <c r="VC9" s="143"/>
      <c r="VD9" s="173"/>
      <c r="VE9" s="143"/>
      <c r="VF9" s="174"/>
      <c r="VG9" s="398"/>
      <c r="VH9" s="175"/>
      <c r="VI9" s="453" t="s">
        <v>368</v>
      </c>
      <c r="VJ9" s="175"/>
      <c r="VK9" s="143"/>
      <c r="VL9" s="175"/>
      <c r="VM9" s="143"/>
      <c r="VN9" s="175"/>
      <c r="VO9" s="143"/>
      <c r="VP9" s="176"/>
      <c r="VQ9" s="102"/>
      <c r="VR9" s="100"/>
      <c r="VS9" s="103"/>
      <c r="VT9" s="98"/>
      <c r="VU9" s="104"/>
      <c r="VV9" s="105"/>
      <c r="VW9" s="141"/>
      <c r="VX9" s="177"/>
      <c r="VY9" s="105"/>
      <c r="VZ9" s="141"/>
      <c r="WA9" s="177"/>
      <c r="WB9" s="103"/>
      <c r="WC9" s="142"/>
      <c r="WD9" s="177"/>
      <c r="WE9" s="105"/>
      <c r="WF9" s="141"/>
      <c r="WG9" s="177"/>
      <c r="WH9" s="105"/>
      <c r="WI9" s="141"/>
      <c r="WJ9" s="177"/>
      <c r="WK9" s="105"/>
      <c r="WL9" s="143"/>
      <c r="WM9" s="177"/>
      <c r="WN9" s="103"/>
      <c r="WO9" s="178">
        <f>VR9+VU9+VX9+WA9+WD9+WG9+WJ9+WM9</f>
        <v>0</v>
      </c>
      <c r="WP9" s="107"/>
      <c r="WQ9" s="151"/>
      <c r="WR9" s="146"/>
      <c r="WS9" s="152"/>
      <c r="WT9" s="149"/>
      <c r="WU9" s="153"/>
      <c r="WV9" s="154"/>
      <c r="WW9" s="179">
        <f>COUNTIF(LX9:PU9,"X")-24</f>
        <v>8</v>
      </c>
      <c r="WX9" s="180"/>
      <c r="WY9" s="95"/>
      <c r="WZ9" s="95"/>
      <c r="XA9" s="95"/>
      <c r="XB9" s="180"/>
      <c r="XC9" s="115">
        <f>GQ9</f>
        <v>0</v>
      </c>
      <c r="XD9" s="88"/>
      <c r="XE9" s="109"/>
    </row>
    <row r="10" spans="1:629" s="2" customFormat="1" ht="18" hidden="1" x14ac:dyDescent="0.3">
      <c r="A10" s="168" t="s">
        <v>360</v>
      </c>
      <c r="B10" s="466" t="s">
        <v>342</v>
      </c>
      <c r="C10" s="194">
        <v>36536</v>
      </c>
      <c r="D10" s="196">
        <v>42559</v>
      </c>
      <c r="E10" s="195">
        <v>42784</v>
      </c>
      <c r="F10" s="195"/>
      <c r="G10" s="113">
        <v>17</v>
      </c>
      <c r="H10" s="407"/>
      <c r="I10" s="341"/>
      <c r="J10" s="341"/>
      <c r="K10" s="341"/>
      <c r="L10" s="341"/>
      <c r="M10" s="341"/>
      <c r="N10" s="341"/>
      <c r="O10" s="341"/>
      <c r="P10" s="417"/>
      <c r="Q10" s="341"/>
      <c r="R10" s="341"/>
      <c r="S10" s="341"/>
      <c r="T10" s="341"/>
      <c r="U10" s="418"/>
      <c r="V10" s="435"/>
      <c r="W10" s="435"/>
      <c r="X10" s="435"/>
      <c r="Y10" s="435"/>
      <c r="Z10" s="417"/>
      <c r="AA10" s="341"/>
      <c r="AB10" s="341"/>
      <c r="AC10" s="341"/>
      <c r="AD10" s="341"/>
      <c r="AE10" s="341"/>
      <c r="AF10" s="341"/>
      <c r="AG10" s="341"/>
      <c r="AH10" s="341"/>
      <c r="AI10" s="341" t="s">
        <v>349</v>
      </c>
      <c r="AJ10" s="341"/>
      <c r="AK10" s="341"/>
      <c r="AL10" s="341"/>
      <c r="AM10" s="341"/>
      <c r="AN10" s="341"/>
      <c r="AO10" s="341"/>
      <c r="AP10" s="341"/>
      <c r="AQ10" s="341"/>
      <c r="AR10" s="341"/>
      <c r="AS10" s="341"/>
      <c r="AT10" s="341"/>
      <c r="AU10" s="341"/>
      <c r="AV10" s="341"/>
      <c r="AW10" s="341"/>
      <c r="AX10" s="341"/>
      <c r="AY10" s="341"/>
      <c r="AZ10" s="341"/>
      <c r="BA10" s="341"/>
      <c r="BB10" s="341"/>
      <c r="BC10" s="341"/>
      <c r="BD10" s="341"/>
      <c r="BE10" s="341"/>
      <c r="BF10" s="341"/>
      <c r="BG10" s="341"/>
      <c r="BH10" s="341"/>
      <c r="BI10" s="341"/>
      <c r="BJ10" s="341"/>
      <c r="BK10" s="341"/>
      <c r="BL10" s="341"/>
      <c r="BM10" s="341"/>
      <c r="BN10" s="341"/>
      <c r="BO10" s="341"/>
      <c r="BP10" s="341"/>
      <c r="BQ10" s="341"/>
      <c r="BR10" s="341"/>
      <c r="BS10" s="341"/>
      <c r="BT10" s="341"/>
      <c r="BU10" s="341"/>
      <c r="BV10" s="341"/>
      <c r="BW10" s="341"/>
      <c r="BX10" s="341"/>
      <c r="BY10" s="341"/>
      <c r="BZ10" s="341"/>
      <c r="CA10" s="341"/>
      <c r="CB10" s="341"/>
      <c r="CC10" s="341"/>
      <c r="CD10" s="341"/>
      <c r="CE10" s="341"/>
      <c r="CF10" s="341"/>
      <c r="CG10" s="341"/>
      <c r="CH10" s="341"/>
      <c r="CI10" s="341"/>
      <c r="CJ10" s="341"/>
      <c r="CK10" s="341"/>
      <c r="CL10" s="341"/>
      <c r="CM10" s="341"/>
      <c r="CN10" s="341"/>
      <c r="CO10" s="341"/>
      <c r="CP10" s="341"/>
      <c r="CQ10" s="341"/>
      <c r="CR10" s="341"/>
      <c r="CS10" s="341"/>
      <c r="CT10" s="341"/>
      <c r="CU10" s="341"/>
      <c r="CV10" s="341"/>
      <c r="CW10" s="341"/>
      <c r="CX10" s="341"/>
      <c r="CY10" s="341"/>
      <c r="CZ10" s="341"/>
      <c r="DA10" s="341"/>
      <c r="DB10" s="341"/>
      <c r="DC10" s="341"/>
      <c r="DD10" s="341"/>
      <c r="DE10" s="341"/>
      <c r="DF10" s="341"/>
      <c r="DG10" s="341"/>
      <c r="DH10" s="341"/>
      <c r="DI10" s="341"/>
      <c r="DJ10" s="341"/>
      <c r="DK10" s="341"/>
      <c r="DL10" s="343"/>
      <c r="DM10" s="346"/>
      <c r="DN10" s="168" t="s">
        <v>360</v>
      </c>
      <c r="DO10" s="427" t="s">
        <v>342</v>
      </c>
      <c r="DP10" s="194">
        <v>36536</v>
      </c>
      <c r="DQ10" s="116">
        <f t="shared" si="0"/>
        <v>42559</v>
      </c>
      <c r="DR10" s="406">
        <f t="shared" si="0"/>
        <v>42784</v>
      </c>
      <c r="DS10" s="117">
        <f ca="1">(YEAR(NOW())-YEAR(DQ10))*12+MONTH(NOW())-MONTH(DQ10)</f>
        <v>120</v>
      </c>
      <c r="DT10" s="483"/>
      <c r="DU10" s="484"/>
      <c r="DV10" s="418"/>
      <c r="DW10" s="418"/>
      <c r="DX10" s="418"/>
      <c r="DY10" s="418"/>
      <c r="DZ10" s="428"/>
      <c r="EA10" s="418"/>
      <c r="EB10" s="418"/>
      <c r="EC10" s="419"/>
      <c r="ED10" s="469">
        <v>42784</v>
      </c>
      <c r="EE10" s="469">
        <v>42784</v>
      </c>
      <c r="EF10" s="435"/>
      <c r="EG10" s="435"/>
      <c r="EH10" s="341"/>
      <c r="EI10" s="341"/>
      <c r="EJ10" s="435"/>
      <c r="EK10" s="435"/>
      <c r="EL10" s="435"/>
      <c r="EM10" s="435"/>
      <c r="EN10" s="435"/>
      <c r="EO10" s="435"/>
      <c r="EP10" s="435"/>
      <c r="EQ10" s="341"/>
      <c r="ER10" s="341"/>
      <c r="ES10" s="435"/>
      <c r="ET10" s="435"/>
      <c r="EU10" s="341"/>
      <c r="EV10" s="371"/>
      <c r="EW10" s="371"/>
      <c r="EX10" s="341"/>
      <c r="EY10" s="341"/>
      <c r="EZ10" s="371"/>
      <c r="FA10" s="371"/>
      <c r="FB10" s="371"/>
      <c r="FC10" s="371"/>
      <c r="FD10" s="371"/>
      <c r="FE10" s="341"/>
      <c r="FF10" s="341"/>
      <c r="FG10" s="341"/>
      <c r="FH10" s="341"/>
      <c r="FI10" s="371"/>
      <c r="FJ10" s="371"/>
      <c r="FK10" s="341"/>
      <c r="FL10" s="341"/>
      <c r="FM10" s="341"/>
      <c r="FN10" s="341"/>
      <c r="FO10" s="341"/>
      <c r="FP10" s="341"/>
      <c r="FQ10" s="341"/>
      <c r="FR10" s="341"/>
      <c r="FS10" s="341"/>
      <c r="FT10" s="341"/>
      <c r="FU10" s="341"/>
      <c r="FV10" s="341"/>
      <c r="FW10" s="341"/>
      <c r="FX10" s="341"/>
      <c r="FY10" s="341"/>
      <c r="FZ10" s="341"/>
      <c r="GA10" s="341"/>
      <c r="GB10" s="341"/>
      <c r="GC10" s="341"/>
      <c r="GD10" s="341"/>
      <c r="GE10" s="341"/>
      <c r="GF10" s="341"/>
      <c r="GG10" s="341"/>
      <c r="GH10" s="341"/>
      <c r="GI10" s="341"/>
      <c r="GJ10" s="341"/>
      <c r="GK10" s="341"/>
      <c r="GL10" s="341"/>
      <c r="GM10" s="341"/>
      <c r="GN10" s="341"/>
      <c r="GO10" s="341"/>
      <c r="GP10" s="341"/>
      <c r="GQ10" s="341"/>
      <c r="GR10" s="343"/>
      <c r="GS10" s="91"/>
      <c r="GT10" s="404" t="s">
        <v>360</v>
      </c>
      <c r="GU10" s="345" t="s">
        <v>342</v>
      </c>
      <c r="GV10" s="458"/>
      <c r="GW10" s="458"/>
      <c r="GX10" s="458"/>
      <c r="GY10" s="458"/>
      <c r="GZ10" s="458"/>
      <c r="HA10" s="458"/>
      <c r="HB10" s="458"/>
      <c r="HC10" s="458"/>
      <c r="HD10" s="458"/>
      <c r="HE10" s="469">
        <v>42784</v>
      </c>
      <c r="HF10" s="469">
        <v>42784</v>
      </c>
      <c r="HG10" s="341"/>
      <c r="HH10" s="336"/>
      <c r="HI10" s="341"/>
      <c r="HJ10" s="336"/>
      <c r="HK10" s="341"/>
      <c r="HL10" s="341"/>
      <c r="HM10" s="336"/>
      <c r="HN10" s="341"/>
      <c r="HO10" s="336"/>
      <c r="HP10" s="341"/>
      <c r="HQ10" s="341"/>
      <c r="HR10" s="336"/>
      <c r="HS10" s="341"/>
      <c r="HT10" s="336"/>
      <c r="HU10" s="341"/>
      <c r="HV10" s="341"/>
      <c r="HW10" s="341"/>
      <c r="HX10" s="336"/>
      <c r="HY10" s="341"/>
      <c r="HZ10" s="341"/>
      <c r="IA10" s="341"/>
      <c r="IB10" s="341" t="s">
        <v>348</v>
      </c>
      <c r="IC10" s="341" t="s">
        <v>348</v>
      </c>
      <c r="ID10" s="341"/>
      <c r="IE10" s="341"/>
      <c r="IF10" s="341" t="s">
        <v>348</v>
      </c>
      <c r="IG10" s="341"/>
      <c r="IH10" s="341" t="s">
        <v>348</v>
      </c>
      <c r="II10" s="341"/>
      <c r="IJ10" s="341" t="s">
        <v>348</v>
      </c>
      <c r="IK10" s="341" t="s">
        <v>348</v>
      </c>
      <c r="IL10" s="341" t="s">
        <v>348</v>
      </c>
      <c r="IM10" s="341"/>
      <c r="IN10" s="341" t="s">
        <v>348</v>
      </c>
      <c r="IO10" s="341"/>
      <c r="IP10" s="341" t="s">
        <v>348</v>
      </c>
      <c r="IQ10" s="341" t="s">
        <v>348</v>
      </c>
      <c r="IR10" s="341" t="s">
        <v>348</v>
      </c>
      <c r="IS10" s="341"/>
      <c r="IT10" s="341"/>
      <c r="IU10" s="341"/>
      <c r="IV10" s="341"/>
      <c r="IW10" s="341"/>
      <c r="IX10" s="341" t="s">
        <v>348</v>
      </c>
      <c r="IY10" s="341" t="s">
        <v>348</v>
      </c>
      <c r="IZ10" s="341" t="s">
        <v>348</v>
      </c>
      <c r="JA10" s="341" t="s">
        <v>348</v>
      </c>
      <c r="JB10" s="341" t="s">
        <v>348</v>
      </c>
      <c r="JC10" s="341" t="s">
        <v>348</v>
      </c>
      <c r="JD10" s="341" t="s">
        <v>348</v>
      </c>
      <c r="JE10" s="341"/>
      <c r="JF10" s="341"/>
      <c r="JG10" s="341" t="s">
        <v>348</v>
      </c>
      <c r="JH10" s="341"/>
      <c r="JI10" s="341"/>
      <c r="JJ10" s="341" t="s">
        <v>348</v>
      </c>
      <c r="JK10" s="341" t="s">
        <v>348</v>
      </c>
      <c r="JL10" s="341"/>
      <c r="JM10" s="341"/>
      <c r="JN10" s="341" t="s">
        <v>348</v>
      </c>
      <c r="JO10" s="341"/>
      <c r="JP10" s="341"/>
      <c r="JQ10" s="341"/>
      <c r="JR10" s="341"/>
      <c r="JS10" s="341" t="s">
        <v>348</v>
      </c>
      <c r="JT10" s="341"/>
      <c r="JU10" s="341"/>
      <c r="JV10" s="341" t="s">
        <v>348</v>
      </c>
      <c r="JW10" s="341"/>
      <c r="JX10" s="341"/>
      <c r="JY10" s="341"/>
      <c r="JZ10" s="341"/>
      <c r="KA10" s="341"/>
      <c r="KB10" s="341" t="s">
        <v>348</v>
      </c>
      <c r="KC10" s="341"/>
      <c r="KD10" s="341"/>
      <c r="KE10" s="341" t="s">
        <v>348</v>
      </c>
      <c r="KF10" s="341"/>
      <c r="KG10" s="341" t="s">
        <v>348</v>
      </c>
      <c r="KH10" s="341" t="s">
        <v>348</v>
      </c>
      <c r="KI10" s="341"/>
      <c r="KJ10" s="341" t="s">
        <v>348</v>
      </c>
      <c r="KK10" s="341" t="s">
        <v>348</v>
      </c>
      <c r="KL10" s="341" t="s">
        <v>348</v>
      </c>
      <c r="KM10" s="341"/>
      <c r="KN10" s="341" t="s">
        <v>348</v>
      </c>
      <c r="KO10" s="341"/>
      <c r="KP10" s="341"/>
      <c r="KQ10" s="341" t="s">
        <v>348</v>
      </c>
      <c r="KR10" s="341"/>
      <c r="KS10" s="341"/>
      <c r="KT10" s="341"/>
      <c r="KU10" s="341"/>
      <c r="KV10" s="341"/>
      <c r="KW10" s="341"/>
      <c r="KX10" s="341"/>
      <c r="KY10" s="341"/>
      <c r="KZ10" s="341"/>
      <c r="LA10" s="341"/>
      <c r="LB10" s="341"/>
      <c r="LC10" s="341"/>
      <c r="LD10" s="341"/>
      <c r="LE10" s="341"/>
      <c r="LF10" s="341" t="s">
        <v>348</v>
      </c>
      <c r="LG10" s="341" t="s">
        <v>348</v>
      </c>
      <c r="LH10" s="341"/>
      <c r="LI10" s="341"/>
      <c r="LJ10" s="341" t="s">
        <v>348</v>
      </c>
      <c r="LK10" s="341"/>
      <c r="LL10" s="341"/>
      <c r="LM10" s="341"/>
      <c r="LN10" s="341" t="s">
        <v>348</v>
      </c>
      <c r="LO10" s="341"/>
      <c r="LP10" s="341"/>
      <c r="LQ10" s="341"/>
      <c r="LR10" s="341"/>
      <c r="LS10" s="341" t="s">
        <v>348</v>
      </c>
      <c r="LT10" s="341"/>
      <c r="LU10" s="341"/>
      <c r="LV10" s="341"/>
      <c r="LW10" s="341"/>
      <c r="LX10" s="341"/>
      <c r="LY10" s="341"/>
      <c r="LZ10" s="341"/>
      <c r="MA10" s="341"/>
      <c r="MB10" s="341"/>
      <c r="MC10" s="341"/>
      <c r="MD10" s="341" t="s">
        <v>348</v>
      </c>
      <c r="ME10" s="341"/>
      <c r="MF10" s="341" t="s">
        <v>348</v>
      </c>
      <c r="MG10" s="341"/>
      <c r="MH10" s="341" t="s">
        <v>348</v>
      </c>
      <c r="MI10" s="341"/>
      <c r="MJ10" s="341"/>
      <c r="MK10" s="341" t="s">
        <v>348</v>
      </c>
      <c r="ML10" s="341" t="s">
        <v>348</v>
      </c>
      <c r="MM10" s="341"/>
      <c r="MN10" s="341"/>
      <c r="MO10" s="341"/>
      <c r="MP10" s="341"/>
      <c r="MQ10" s="341"/>
      <c r="MR10" s="341"/>
      <c r="MS10" s="341"/>
      <c r="MT10" s="341" t="s">
        <v>348</v>
      </c>
      <c r="MU10" s="341"/>
      <c r="MV10" s="341"/>
      <c r="MW10" s="341"/>
      <c r="MX10" s="341" t="s">
        <v>348</v>
      </c>
      <c r="MY10" s="341"/>
      <c r="MZ10" s="341"/>
      <c r="NA10" s="341"/>
      <c r="NB10" s="341"/>
      <c r="NC10" s="341"/>
      <c r="ND10" s="341"/>
      <c r="NE10" s="341"/>
      <c r="NF10" s="341"/>
      <c r="NG10" s="341"/>
      <c r="NH10" s="341"/>
      <c r="NI10" s="341"/>
      <c r="NJ10" s="341"/>
      <c r="NK10" s="341"/>
      <c r="NL10" s="341"/>
      <c r="NM10" s="341"/>
      <c r="NN10" s="341"/>
      <c r="NO10" s="341"/>
      <c r="NP10" s="341"/>
      <c r="NQ10" s="341"/>
      <c r="NR10" s="341"/>
      <c r="NS10" s="341"/>
      <c r="NT10" s="341"/>
      <c r="NU10" s="341"/>
      <c r="NV10" s="341"/>
      <c r="NW10" s="341"/>
      <c r="NX10" s="341"/>
      <c r="NY10" s="341"/>
      <c r="NZ10" s="341"/>
      <c r="OA10" s="341"/>
      <c r="OB10" s="341" t="s">
        <v>348</v>
      </c>
      <c r="OC10" s="341"/>
      <c r="OD10" s="341"/>
      <c r="OE10" s="341" t="s">
        <v>348</v>
      </c>
      <c r="OF10" s="341"/>
      <c r="OG10" s="341"/>
      <c r="OH10" s="341"/>
      <c r="OI10" s="341"/>
      <c r="OJ10" s="341"/>
      <c r="OK10" s="341"/>
      <c r="OL10" s="341"/>
      <c r="OM10" s="341" t="s">
        <v>348</v>
      </c>
      <c r="ON10" s="341"/>
      <c r="OO10" s="341"/>
      <c r="OP10" s="341"/>
      <c r="OQ10" s="341" t="s">
        <v>348</v>
      </c>
      <c r="OR10" s="341"/>
      <c r="OS10" s="341"/>
      <c r="OT10" s="341"/>
      <c r="OU10" s="341"/>
      <c r="OV10" s="341"/>
      <c r="OW10" s="341"/>
      <c r="OX10" s="341"/>
      <c r="OY10" s="341"/>
      <c r="OZ10" s="341"/>
      <c r="PA10" s="341"/>
      <c r="PB10" s="341"/>
      <c r="PC10" s="341"/>
      <c r="PD10" s="341" t="s">
        <v>348</v>
      </c>
      <c r="PE10" s="341"/>
      <c r="PF10" s="341" t="s">
        <v>348</v>
      </c>
      <c r="PG10" s="341"/>
      <c r="PH10" s="341"/>
      <c r="PI10" s="341"/>
      <c r="PJ10" s="341" t="s">
        <v>348</v>
      </c>
      <c r="PK10" s="341" t="s">
        <v>348</v>
      </c>
      <c r="PL10" s="341"/>
      <c r="PM10" s="341"/>
      <c r="PN10" s="341"/>
      <c r="PO10" s="341"/>
      <c r="PP10" s="341"/>
      <c r="PQ10" s="341"/>
      <c r="PR10" s="341"/>
      <c r="PS10" s="341"/>
      <c r="PT10" s="341" t="s">
        <v>348</v>
      </c>
      <c r="PU10" s="341"/>
      <c r="PV10" s="341"/>
      <c r="PW10" s="365"/>
      <c r="PX10" s="341"/>
      <c r="PY10" s="365"/>
      <c r="PZ10" s="341"/>
      <c r="QA10" s="365"/>
      <c r="QB10" s="341"/>
      <c r="QC10" s="366"/>
      <c r="QD10" s="341"/>
      <c r="QE10" s="366"/>
      <c r="QF10" s="341"/>
      <c r="QG10" s="366"/>
      <c r="QH10" s="341"/>
      <c r="QI10" s="370"/>
      <c r="QJ10" s="341"/>
      <c r="QK10" s="368"/>
      <c r="QL10" s="341"/>
      <c r="QM10" s="368"/>
      <c r="QN10" s="341"/>
      <c r="QO10" s="365"/>
      <c r="QP10" s="341"/>
      <c r="QQ10" s="366"/>
      <c r="QR10" s="341"/>
      <c r="QS10" s="368"/>
      <c r="QT10" s="418"/>
      <c r="QU10" s="341"/>
      <c r="QV10" s="341"/>
      <c r="QW10" s="336"/>
      <c r="QX10" s="448" t="s">
        <v>369</v>
      </c>
      <c r="QY10" s="367"/>
      <c r="QZ10" s="435" t="s">
        <v>371</v>
      </c>
      <c r="RA10" s="367"/>
      <c r="RB10" s="341"/>
      <c r="RC10" s="367"/>
      <c r="RD10" s="435"/>
      <c r="RE10" s="341"/>
      <c r="RF10" s="341"/>
      <c r="RG10" s="341"/>
      <c r="RH10" s="341"/>
      <c r="RI10" s="341"/>
      <c r="RJ10" s="341"/>
      <c r="RK10" s="435"/>
      <c r="RL10" s="341"/>
      <c r="RM10" s="371"/>
      <c r="RN10" s="341"/>
      <c r="RO10" s="371"/>
      <c r="RP10" s="341"/>
      <c r="RQ10" s="371"/>
      <c r="RR10" s="341"/>
      <c r="RS10" s="341"/>
      <c r="RT10" s="341"/>
      <c r="RU10" s="341"/>
      <c r="RV10" s="341"/>
      <c r="RW10" s="341"/>
      <c r="RX10" s="341"/>
      <c r="RY10" s="341"/>
      <c r="RZ10" s="341"/>
      <c r="SA10" s="341"/>
      <c r="SB10" s="371"/>
      <c r="SC10" s="341"/>
      <c r="SD10" s="341"/>
      <c r="SE10" s="372"/>
      <c r="SF10" s="341"/>
      <c r="SG10" s="341"/>
      <c r="SH10" s="372"/>
      <c r="SI10" s="341"/>
      <c r="SJ10" s="372"/>
      <c r="SK10" s="341"/>
      <c r="SL10" s="341"/>
      <c r="SM10" s="341"/>
      <c r="SN10" s="341"/>
      <c r="SO10" s="341"/>
      <c r="SP10" s="341"/>
      <c r="SQ10" s="341"/>
      <c r="SR10" s="341"/>
      <c r="SS10" s="341"/>
      <c r="ST10" s="341"/>
      <c r="SU10" s="341"/>
      <c r="SV10" s="341"/>
      <c r="SW10" s="372"/>
      <c r="SX10" s="341"/>
      <c r="SY10" s="341"/>
      <c r="SZ10" s="373"/>
      <c r="TA10" s="341"/>
      <c r="TB10" s="341"/>
      <c r="TC10" s="341"/>
      <c r="TD10" s="373"/>
      <c r="TE10" s="341"/>
      <c r="TF10" s="373"/>
      <c r="TG10" s="341"/>
      <c r="TH10" s="341"/>
      <c r="TI10" s="341"/>
      <c r="TJ10" s="341"/>
      <c r="TK10" s="341"/>
      <c r="TL10" s="341"/>
      <c r="TM10" s="341"/>
      <c r="TN10" s="341"/>
      <c r="TO10" s="341"/>
      <c r="TP10" s="341"/>
      <c r="TQ10" s="341"/>
      <c r="TR10" s="341"/>
      <c r="TS10" s="341"/>
      <c r="TT10" s="341"/>
      <c r="TU10" s="341"/>
      <c r="TV10" s="373"/>
      <c r="TW10" s="341"/>
      <c r="TX10" s="365"/>
      <c r="TY10" s="341"/>
      <c r="TZ10" s="366"/>
      <c r="UA10" s="341"/>
      <c r="UB10" s="368"/>
      <c r="UC10" s="449" t="s">
        <v>366</v>
      </c>
      <c r="UD10" s="374"/>
      <c r="UE10" s="450" t="s">
        <v>367</v>
      </c>
      <c r="UF10" s="374"/>
      <c r="UG10" s="341"/>
      <c r="UH10" s="374"/>
      <c r="UI10" s="341"/>
      <c r="UJ10" s="374"/>
      <c r="UK10" s="341"/>
      <c r="UL10" s="374"/>
      <c r="UM10" s="451" t="s">
        <v>367</v>
      </c>
      <c r="UN10" s="367"/>
      <c r="UO10" s="435" t="s">
        <v>372</v>
      </c>
      <c r="UP10" s="367"/>
      <c r="UQ10" s="341"/>
      <c r="UR10" s="367"/>
      <c r="US10" s="341"/>
      <c r="UT10" s="367"/>
      <c r="UU10" s="341"/>
      <c r="UV10" s="367"/>
      <c r="UW10" s="341"/>
      <c r="UX10" s="375"/>
      <c r="UY10" s="341"/>
      <c r="UZ10" s="375"/>
      <c r="VA10" s="341"/>
      <c r="VB10" s="375"/>
      <c r="VC10" s="341"/>
      <c r="VD10" s="375"/>
      <c r="VE10" s="341"/>
      <c r="VF10" s="375"/>
      <c r="VG10" s="452" t="s">
        <v>363</v>
      </c>
      <c r="VH10" s="373"/>
      <c r="VI10" s="341"/>
      <c r="VJ10" s="373"/>
      <c r="VK10" s="341"/>
      <c r="VL10" s="373"/>
      <c r="VM10" s="341"/>
      <c r="VN10" s="373"/>
      <c r="VO10" s="341"/>
      <c r="VP10" s="373"/>
      <c r="VQ10" s="341"/>
      <c r="VR10" s="341"/>
      <c r="VS10" s="376"/>
      <c r="VT10" s="341"/>
      <c r="VU10" s="341"/>
      <c r="VV10" s="376"/>
      <c r="VW10" s="341"/>
      <c r="VX10" s="341"/>
      <c r="VY10" s="376"/>
      <c r="VZ10" s="341"/>
      <c r="WA10" s="341"/>
      <c r="WB10" s="376"/>
      <c r="WC10" s="341"/>
      <c r="WD10" s="341"/>
      <c r="WE10" s="376"/>
      <c r="WF10" s="341"/>
      <c r="WG10" s="341"/>
      <c r="WH10" s="376"/>
      <c r="WI10" s="341"/>
      <c r="WJ10" s="341"/>
      <c r="WK10" s="376"/>
      <c r="WL10" s="341"/>
      <c r="WM10" s="341"/>
      <c r="WN10" s="376"/>
      <c r="WO10" s="341"/>
      <c r="WR10" s="380"/>
      <c r="WT10" s="379"/>
      <c r="WV10" s="378"/>
      <c r="WX10" s="377"/>
      <c r="XB10" s="377"/>
      <c r="XD10" s="88"/>
      <c r="XE10" s="109"/>
    </row>
    <row r="11" spans="1:629" s="2" customFormat="1" ht="21.6" thickBot="1" x14ac:dyDescent="0.35">
      <c r="A11" s="112"/>
      <c r="B11" s="466"/>
      <c r="C11" s="194"/>
      <c r="D11" s="110"/>
      <c r="E11" s="110"/>
      <c r="F11" s="110"/>
      <c r="G11" s="113"/>
      <c r="H11" s="340"/>
      <c r="I11" s="337"/>
      <c r="J11" s="337"/>
      <c r="K11" s="337"/>
      <c r="L11" s="337"/>
      <c r="M11" s="337"/>
      <c r="N11" s="337"/>
      <c r="O11" s="337"/>
      <c r="P11" s="337"/>
      <c r="Q11" s="337"/>
      <c r="R11" s="337"/>
      <c r="S11" s="337"/>
      <c r="T11" s="493"/>
      <c r="U11" s="493"/>
      <c r="V11" s="493"/>
      <c r="W11" s="493"/>
      <c r="X11" s="493"/>
      <c r="Y11" s="493"/>
      <c r="Z11" s="493"/>
      <c r="AA11" s="505"/>
      <c r="AB11" s="493"/>
      <c r="AC11" s="493"/>
      <c r="AD11" s="493"/>
      <c r="AE11" s="493"/>
      <c r="AF11" s="493"/>
      <c r="AG11" s="493"/>
      <c r="AH11" s="493"/>
      <c r="AI11" s="493"/>
      <c r="AJ11" s="493"/>
      <c r="AK11" s="493"/>
      <c r="AL11" s="493"/>
      <c r="AM11" s="505"/>
      <c r="AN11" s="493"/>
      <c r="AO11" s="493"/>
      <c r="AP11" s="493"/>
      <c r="AQ11" s="493"/>
      <c r="AR11" s="493"/>
      <c r="AS11" s="493"/>
      <c r="AT11" s="493"/>
      <c r="AU11" s="493"/>
      <c r="AV11" s="506" t="s">
        <v>349</v>
      </c>
      <c r="AW11" s="455"/>
      <c r="AX11" s="455"/>
      <c r="AY11" s="455"/>
      <c r="AZ11" s="455"/>
      <c r="BA11" s="455"/>
      <c r="BB11" s="337"/>
      <c r="BC11" s="337"/>
      <c r="BD11" s="337"/>
      <c r="BE11" s="337"/>
      <c r="BF11" s="337"/>
      <c r="BG11" s="337"/>
      <c r="BH11" s="337"/>
      <c r="BI11" s="337"/>
      <c r="BJ11" s="337" t="s">
        <v>349</v>
      </c>
      <c r="BK11" s="337"/>
      <c r="BL11" s="337"/>
      <c r="BM11" s="337"/>
      <c r="BN11" s="87"/>
      <c r="BO11" s="87"/>
      <c r="BP11" s="507"/>
      <c r="BQ11" s="507"/>
      <c r="BR11" s="507"/>
      <c r="BS11" s="507"/>
      <c r="BT11" s="507"/>
      <c r="BU11" s="507"/>
      <c r="BV11" s="507"/>
      <c r="BW11" s="507"/>
      <c r="BX11" s="507" t="s">
        <v>349</v>
      </c>
      <c r="BY11" s="507"/>
      <c r="BZ11" s="507"/>
      <c r="CA11" s="507"/>
      <c r="CB11" s="507"/>
      <c r="CC11" s="507"/>
      <c r="CD11" s="507"/>
      <c r="CE11" s="507"/>
      <c r="CF11" s="507"/>
      <c r="CG11" s="507"/>
      <c r="CH11" s="507"/>
      <c r="CI11" s="507"/>
      <c r="CJ11" s="507"/>
      <c r="CK11" s="507"/>
      <c r="CL11" s="507" t="s">
        <v>349</v>
      </c>
      <c r="CM11" s="507"/>
      <c r="CN11" s="507"/>
      <c r="CO11" s="507"/>
      <c r="CP11" s="507"/>
      <c r="CQ11" s="507"/>
      <c r="CR11" s="507"/>
      <c r="CS11" s="507"/>
      <c r="CT11" s="507"/>
      <c r="CU11" s="507"/>
      <c r="CV11" s="507"/>
      <c r="CW11" s="507"/>
      <c r="CX11" s="507"/>
      <c r="CY11" s="507"/>
      <c r="CZ11" s="507" t="s">
        <v>349</v>
      </c>
      <c r="DA11" s="507"/>
      <c r="DB11" s="507"/>
      <c r="DC11" s="507"/>
      <c r="DD11" s="507"/>
      <c r="DE11" s="493"/>
      <c r="DF11" s="493"/>
      <c r="DG11" s="493"/>
      <c r="DH11" s="493"/>
      <c r="DI11" s="493"/>
      <c r="DJ11" s="493"/>
      <c r="DK11" s="493"/>
      <c r="DL11" s="343"/>
      <c r="DM11" s="346"/>
      <c r="DN11" s="424">
        <f t="shared" ref="DN11:DP16" si="1">A11</f>
        <v>0</v>
      </c>
      <c r="DO11" s="416">
        <f t="shared" si="1"/>
        <v>0</v>
      </c>
      <c r="DP11" s="116">
        <f t="shared" si="1"/>
        <v>0</v>
      </c>
      <c r="DQ11" s="349">
        <f t="shared" si="0"/>
        <v>0</v>
      </c>
      <c r="DR11" s="349">
        <f t="shared" si="0"/>
        <v>0</v>
      </c>
      <c r="DS11" s="468">
        <f t="shared" ref="DS11:DS16" ca="1" si="2">(YEAR(NOW())-YEAR(DQ11))*12+MONTH(NOW())-MONTH(DQ11)</f>
        <v>1518</v>
      </c>
      <c r="DT11" s="489"/>
      <c r="DU11" s="418"/>
      <c r="DV11" s="418"/>
      <c r="DW11" s="418"/>
      <c r="DX11" s="418"/>
      <c r="DY11" s="418"/>
      <c r="DZ11" s="418"/>
      <c r="EA11" s="418"/>
      <c r="EB11" s="418"/>
      <c r="EC11" s="485"/>
      <c r="ED11" s="470">
        <v>43634</v>
      </c>
      <c r="EE11" s="350">
        <v>43634</v>
      </c>
      <c r="EF11" s="119">
        <f t="shared" ref="EF11:EF16" si="3">HH11</f>
        <v>0</v>
      </c>
      <c r="EG11" s="119">
        <f t="shared" ref="EG11:EG16" si="4">HJ11</f>
        <v>0</v>
      </c>
      <c r="EH11" s="119">
        <f t="shared" ref="EH11:EH16" si="5">PY11</f>
        <v>0</v>
      </c>
      <c r="EI11" s="119">
        <f t="shared" ref="EI11:EI16" si="6">QC11</f>
        <v>0</v>
      </c>
      <c r="EJ11" s="119">
        <f t="shared" ref="EJ11:EJ16" si="7">VY11</f>
        <v>0</v>
      </c>
      <c r="EK11" s="120">
        <f t="shared" ref="EK11:EK16" si="8">QY11</f>
        <v>0</v>
      </c>
      <c r="EL11" s="120">
        <f t="shared" ref="EL11:EL16" si="9">RA11</f>
        <v>0</v>
      </c>
      <c r="EM11" s="120">
        <f t="shared" ref="EM11:EM16" si="10">RC11</f>
        <v>0</v>
      </c>
      <c r="EN11" s="119"/>
      <c r="EO11" s="119"/>
      <c r="EP11" s="119"/>
      <c r="EQ11" s="119">
        <f t="shared" ref="EQ11:EQ16" si="11">QO11</f>
        <v>0</v>
      </c>
      <c r="ER11" s="120">
        <f t="shared" ref="ER11:ER16" si="12">RK11</f>
        <v>0</v>
      </c>
      <c r="ES11" s="119">
        <f t="shared" ref="ES11:ES16" si="13">TX11</f>
        <v>0</v>
      </c>
      <c r="ET11" s="119">
        <f t="shared" ref="ET11:ET16" si="14">WR11</f>
        <v>0</v>
      </c>
      <c r="EU11" s="344"/>
      <c r="EV11" s="341">
        <f t="shared" ref="EV11:EV16" si="15">HM11</f>
        <v>0</v>
      </c>
      <c r="EW11" s="341">
        <f t="shared" ref="EW11:EW16" si="16">HO11</f>
        <v>0</v>
      </c>
      <c r="EX11" s="417"/>
      <c r="EY11" s="417"/>
      <c r="EZ11" s="417"/>
      <c r="FA11" s="517"/>
      <c r="FB11" s="517"/>
      <c r="FC11" s="517"/>
      <c r="FD11" s="417"/>
      <c r="FE11" s="417"/>
      <c r="FF11" s="417"/>
      <c r="FG11" s="417"/>
      <c r="FH11" s="517"/>
      <c r="FI11" s="417">
        <f t="shared" ref="FI11:FI16" si="17">TZ11</f>
        <v>0</v>
      </c>
      <c r="FJ11" s="417">
        <f t="shared" ref="FJ11:FJ16" si="18">WT11</f>
        <v>0</v>
      </c>
      <c r="FK11" s="344"/>
      <c r="FL11" s="119">
        <f t="shared" ref="FL11:FL16" si="19">HR11</f>
        <v>0</v>
      </c>
      <c r="FM11" s="417">
        <f t="shared" ref="FM11:FM16" si="20">HT11</f>
        <v>0</v>
      </c>
      <c r="FN11" s="417"/>
      <c r="FO11" s="417"/>
      <c r="FP11" s="417"/>
      <c r="FQ11" s="417"/>
      <c r="FR11" s="517"/>
      <c r="FS11" s="517"/>
      <c r="FT11" s="517"/>
      <c r="FU11" s="417"/>
      <c r="FV11" s="417"/>
      <c r="FW11" s="417"/>
      <c r="FX11" s="417"/>
      <c r="FY11" s="517"/>
      <c r="FZ11" s="417"/>
      <c r="GA11" s="417"/>
      <c r="GB11" s="344"/>
      <c r="GC11" s="119">
        <f t="shared" ref="GC11:GC16" si="21">WX11</f>
        <v>0</v>
      </c>
      <c r="GD11" s="119">
        <f t="shared" ref="GD11:GD16" si="22">XB11</f>
        <v>0</v>
      </c>
      <c r="GE11" s="119">
        <f t="shared" ref="GE11:GE16" si="23">QK11</f>
        <v>0</v>
      </c>
      <c r="GF11" s="119">
        <f t="shared" ref="GF11:GF16" si="24">WN11</f>
        <v>0</v>
      </c>
      <c r="GG11" s="120">
        <f t="shared" ref="GG11:GG16" si="25">SZ11</f>
        <v>0</v>
      </c>
      <c r="GH11" s="120">
        <f t="shared" ref="GH11:GH16" si="26">TD11</f>
        <v>0</v>
      </c>
      <c r="GI11" s="120">
        <f>TF11</f>
        <v>0</v>
      </c>
      <c r="GJ11" s="119">
        <f t="shared" ref="GJ11:GJ16" si="27">UV11</f>
        <v>0</v>
      </c>
      <c r="GK11" s="119">
        <f t="shared" ref="GK11:GK16" si="28">VF11</f>
        <v>0</v>
      </c>
      <c r="GL11" s="119">
        <f t="shared" ref="GL11:GL16" si="29">VP11</f>
        <v>0</v>
      </c>
      <c r="GM11" s="119">
        <f t="shared" ref="GM11:GM16" si="30">QS11</f>
        <v>0</v>
      </c>
      <c r="GN11" s="120">
        <f t="shared" ref="GN11:GN16" si="31">TV11</f>
        <v>0</v>
      </c>
      <c r="GO11" s="119">
        <f t="shared" ref="GO11:GO16" si="32">UB11</f>
        <v>0</v>
      </c>
      <c r="GP11" s="119">
        <f t="shared" ref="GP11:GP16" si="33">WV11</f>
        <v>0</v>
      </c>
      <c r="GQ11" s="344"/>
      <c r="GR11" s="343"/>
      <c r="GS11" s="91"/>
      <c r="GT11" s="420">
        <f t="shared" ref="GT11:GU16" si="34">A11</f>
        <v>0</v>
      </c>
      <c r="GU11" s="90">
        <f t="shared" si="34"/>
        <v>0</v>
      </c>
      <c r="GV11" s="456"/>
      <c r="GW11" s="457"/>
      <c r="GX11" s="457"/>
      <c r="GY11" s="457"/>
      <c r="GZ11" s="457"/>
      <c r="HA11" s="457"/>
      <c r="HB11" s="457"/>
      <c r="HC11" s="457"/>
      <c r="HD11" s="457"/>
      <c r="HE11" s="190"/>
      <c r="HF11" s="115"/>
      <c r="HG11" s="352">
        <f>COUNTIF(HZ11:LW11,"X")</f>
        <v>0</v>
      </c>
      <c r="HH11" s="353"/>
      <c r="HI11" s="179">
        <f>COUNTIF(LX11:PU11,"X")</f>
        <v>0</v>
      </c>
      <c r="HJ11" s="353"/>
      <c r="HK11" s="115">
        <f t="shared" ref="HK11:HK16" si="35">EU11</f>
        <v>0</v>
      </c>
      <c r="HL11" s="179">
        <f>COUNTIF(HZ11:LW11,"X")-12</f>
        <v>-12</v>
      </c>
      <c r="HM11" s="181"/>
      <c r="HN11" s="179">
        <f>COUNTIF(LX11:PU11,"X")-9</f>
        <v>-9</v>
      </c>
      <c r="HO11" s="181"/>
      <c r="HP11" s="354">
        <f t="shared" ref="HP11:HP16" si="36">FK11</f>
        <v>0</v>
      </c>
      <c r="HQ11" s="179">
        <f>COUNTIF(HZ11:LW11,"X")-21</f>
        <v>-21</v>
      </c>
      <c r="HR11" s="181"/>
      <c r="HS11" s="179">
        <f>COUNTIF(LX11:PU11,"X")-15</f>
        <v>-15</v>
      </c>
      <c r="HT11" s="181"/>
      <c r="HU11" s="95"/>
      <c r="HV11" s="95"/>
      <c r="HW11" s="95"/>
      <c r="HX11" s="182"/>
      <c r="HY11" s="115"/>
      <c r="HZ11" s="355"/>
      <c r="IA11" s="339"/>
      <c r="IB11" s="355"/>
      <c r="IC11" s="339"/>
      <c r="ID11" s="339"/>
      <c r="IE11" s="356"/>
      <c r="IF11" s="355"/>
      <c r="IG11" s="339"/>
      <c r="IH11" s="355"/>
      <c r="II11" s="339"/>
      <c r="IJ11" s="339"/>
      <c r="IK11" s="356"/>
      <c r="IL11" s="355"/>
      <c r="IM11" s="339"/>
      <c r="IN11" s="355"/>
      <c r="IO11" s="339"/>
      <c r="IP11" s="339"/>
      <c r="IQ11" s="356"/>
      <c r="IR11" s="355"/>
      <c r="IS11" s="339"/>
      <c r="IT11" s="355"/>
      <c r="IU11" s="339"/>
      <c r="IV11" s="339"/>
      <c r="IW11" s="356"/>
      <c r="IX11" s="355"/>
      <c r="IY11" s="339"/>
      <c r="IZ11" s="355"/>
      <c r="JA11" s="339"/>
      <c r="JB11" s="339"/>
      <c r="JC11" s="356"/>
      <c r="JD11" s="355"/>
      <c r="JE11" s="339"/>
      <c r="JF11" s="355"/>
      <c r="JG11" s="339"/>
      <c r="JH11" s="339"/>
      <c r="JI11" s="357"/>
      <c r="JJ11" s="358"/>
      <c r="JK11" s="339"/>
      <c r="JL11" s="355"/>
      <c r="JM11" s="339"/>
      <c r="JN11" s="339"/>
      <c r="JO11" s="356"/>
      <c r="JP11" s="355"/>
      <c r="JQ11" s="339"/>
      <c r="JR11" s="355"/>
      <c r="JS11" s="339"/>
      <c r="JT11" s="339"/>
      <c r="JU11" s="357"/>
      <c r="JV11" s="358"/>
      <c r="JW11" s="339"/>
      <c r="JX11" s="355"/>
      <c r="JY11" s="339"/>
      <c r="JZ11" s="339"/>
      <c r="KA11" s="356"/>
      <c r="KB11" s="355"/>
      <c r="KC11" s="339"/>
      <c r="KD11" s="355"/>
      <c r="KE11" s="339"/>
      <c r="KF11" s="339"/>
      <c r="KG11" s="357"/>
      <c r="KH11" s="358"/>
      <c r="KI11" s="339"/>
      <c r="KJ11" s="355"/>
      <c r="KK11" s="339"/>
      <c r="KL11" s="339"/>
      <c r="KM11" s="356"/>
      <c r="KN11" s="355"/>
      <c r="KO11" s="339"/>
      <c r="KP11" s="355"/>
      <c r="KQ11" s="339"/>
      <c r="KR11" s="339"/>
      <c r="KS11" s="357"/>
      <c r="KT11" s="358"/>
      <c r="KU11" s="339"/>
      <c r="KV11" s="355"/>
      <c r="KW11" s="339"/>
      <c r="KX11" s="339"/>
      <c r="KY11" s="356"/>
      <c r="KZ11" s="355"/>
      <c r="LA11" s="339"/>
      <c r="LB11" s="355"/>
      <c r="LC11" s="339"/>
      <c r="LD11" s="339"/>
      <c r="LE11" s="357"/>
      <c r="LF11" s="358"/>
      <c r="LG11" s="339"/>
      <c r="LH11" s="355"/>
      <c r="LI11" s="339"/>
      <c r="LJ11" s="339"/>
      <c r="LK11" s="356"/>
      <c r="LL11" s="355"/>
      <c r="LM11" s="339"/>
      <c r="LN11" s="355"/>
      <c r="LO11" s="339"/>
      <c r="LP11" s="339"/>
      <c r="LQ11" s="357"/>
      <c r="LR11" s="358"/>
      <c r="LS11" s="339"/>
      <c r="LT11" s="355"/>
      <c r="LU11" s="339"/>
      <c r="LV11" s="339"/>
      <c r="LW11" s="356"/>
      <c r="LX11" s="338"/>
      <c r="LY11" s="339"/>
      <c r="LZ11" s="338"/>
      <c r="MA11" s="339"/>
      <c r="MB11" s="338"/>
      <c r="MC11" s="356"/>
      <c r="MD11" s="338"/>
      <c r="ME11" s="339"/>
      <c r="MF11" s="338"/>
      <c r="MG11" s="339"/>
      <c r="MH11" s="338"/>
      <c r="MI11" s="356"/>
      <c r="MJ11" s="338"/>
      <c r="MK11" s="339"/>
      <c r="ML11" s="338"/>
      <c r="MM11" s="339"/>
      <c r="MN11" s="338"/>
      <c r="MO11" s="356"/>
      <c r="MP11" s="338"/>
      <c r="MQ11" s="339"/>
      <c r="MR11" s="338"/>
      <c r="MS11" s="339"/>
      <c r="MT11" s="338"/>
      <c r="MU11" s="356"/>
      <c r="MV11" s="338"/>
      <c r="MW11" s="339"/>
      <c r="MX11" s="338"/>
      <c r="MY11" s="339"/>
      <c r="MZ11" s="338"/>
      <c r="NA11" s="356"/>
      <c r="NB11" s="338"/>
      <c r="NC11" s="339"/>
      <c r="ND11" s="359"/>
      <c r="NE11" s="360"/>
      <c r="NF11" s="338"/>
      <c r="NG11" s="356"/>
      <c r="NH11" s="338"/>
      <c r="NI11" s="339"/>
      <c r="NJ11" s="338"/>
      <c r="NK11" s="339"/>
      <c r="NL11" s="338"/>
      <c r="NM11" s="356"/>
      <c r="NN11" s="338"/>
      <c r="NO11" s="339"/>
      <c r="NP11" s="338"/>
      <c r="NQ11" s="339"/>
      <c r="NR11" s="338"/>
      <c r="NS11" s="356"/>
      <c r="NT11" s="338"/>
      <c r="NU11" s="339"/>
      <c r="NV11" s="338"/>
      <c r="NW11" s="339"/>
      <c r="NX11" s="338"/>
      <c r="NY11" s="356"/>
      <c r="NZ11" s="338"/>
      <c r="OA11" s="339"/>
      <c r="OB11" s="338"/>
      <c r="OC11" s="339"/>
      <c r="OD11" s="338"/>
      <c r="OE11" s="356"/>
      <c r="OF11" s="338"/>
      <c r="OG11" s="339"/>
      <c r="OH11" s="338"/>
      <c r="OI11" s="339"/>
      <c r="OJ11" s="338"/>
      <c r="OK11" s="356"/>
      <c r="OL11" s="338"/>
      <c r="OM11" s="339"/>
      <c r="ON11" s="338"/>
      <c r="OO11" s="339"/>
      <c r="OP11" s="338"/>
      <c r="OQ11" s="356"/>
      <c r="OR11" s="148"/>
      <c r="OS11" s="92"/>
      <c r="OT11" s="148"/>
      <c r="OU11" s="92"/>
      <c r="OV11" s="148"/>
      <c r="OW11" s="348"/>
      <c r="OX11" s="148"/>
      <c r="OY11" s="92"/>
      <c r="OZ11" s="148"/>
      <c r="PA11" s="92"/>
      <c r="PB11" s="148"/>
      <c r="PC11" s="348"/>
      <c r="PD11" s="148"/>
      <c r="PE11" s="92"/>
      <c r="PF11" s="338"/>
      <c r="PG11" s="339"/>
      <c r="PH11" s="338"/>
      <c r="PI11" s="356"/>
      <c r="PJ11" s="338"/>
      <c r="PK11" s="339"/>
      <c r="PL11" s="338"/>
      <c r="PM11" s="339"/>
      <c r="PN11" s="338"/>
      <c r="PO11" s="356"/>
      <c r="PP11" s="338"/>
      <c r="PQ11" s="339"/>
      <c r="PR11" s="338"/>
      <c r="PS11" s="339"/>
      <c r="PT11" s="338"/>
      <c r="PU11" s="356"/>
      <c r="PV11" s="214"/>
      <c r="PW11" s="101"/>
      <c r="PX11" s="148"/>
      <c r="PY11" s="101"/>
      <c r="PZ11" s="148"/>
      <c r="QA11" s="146"/>
      <c r="QB11" s="148"/>
      <c r="QC11" s="147"/>
      <c r="QD11" s="148"/>
      <c r="QE11" s="147"/>
      <c r="QF11" s="148"/>
      <c r="QG11" s="149"/>
      <c r="QH11" s="148"/>
      <c r="QI11" s="150"/>
      <c r="QJ11" s="148"/>
      <c r="QK11" s="369"/>
      <c r="QL11" s="148"/>
      <c r="QM11" s="150"/>
      <c r="QN11" s="206">
        <v>43639</v>
      </c>
      <c r="QO11" s="146"/>
      <c r="QP11" s="206"/>
      <c r="QQ11" s="149"/>
      <c r="QR11" s="206"/>
      <c r="QS11" s="154"/>
      <c r="QT11" s="381"/>
      <c r="QU11" s="95"/>
      <c r="QV11" s="198"/>
      <c r="QW11" s="158"/>
      <c r="QX11" s="199"/>
      <c r="QY11" s="160"/>
      <c r="QZ11" s="199"/>
      <c r="RA11" s="160"/>
      <c r="RB11" s="199"/>
      <c r="RC11" s="160"/>
      <c r="RD11" s="199"/>
      <c r="RE11" s="198"/>
      <c r="RF11" s="198"/>
      <c r="RG11" s="95"/>
      <c r="RH11" s="95"/>
      <c r="RI11" s="95"/>
      <c r="RJ11" s="198"/>
      <c r="RK11" s="160"/>
      <c r="RL11" s="199"/>
      <c r="RM11" s="163"/>
      <c r="RN11" s="199"/>
      <c r="RO11" s="163"/>
      <c r="RP11" s="199"/>
      <c r="RQ11" s="163"/>
      <c r="RR11" s="199"/>
      <c r="RS11" s="198"/>
      <c r="RT11" s="198"/>
      <c r="RU11" s="198"/>
      <c r="RV11" s="198"/>
      <c r="RW11" s="198"/>
      <c r="RX11" s="95"/>
      <c r="RY11" s="95"/>
      <c r="RZ11" s="95"/>
      <c r="SA11" s="198"/>
      <c r="SB11" s="163"/>
      <c r="SC11" s="200"/>
      <c r="SD11" s="198"/>
      <c r="SE11" s="165"/>
      <c r="SF11" s="199"/>
      <c r="SG11" s="198"/>
      <c r="SH11" s="165"/>
      <c r="SI11" s="199"/>
      <c r="SJ11" s="165"/>
      <c r="SK11" s="199"/>
      <c r="SL11" s="198"/>
      <c r="SM11" s="198"/>
      <c r="SN11" s="198"/>
      <c r="SO11" s="198"/>
      <c r="SP11" s="198"/>
      <c r="SQ11" s="95"/>
      <c r="SR11" s="95"/>
      <c r="SS11" s="95"/>
      <c r="ST11" s="95"/>
      <c r="SU11" s="95"/>
      <c r="SV11" s="198"/>
      <c r="SW11" s="165"/>
      <c r="SX11" s="200"/>
      <c r="SY11" s="198"/>
      <c r="SZ11" s="166"/>
      <c r="TA11" s="200"/>
      <c r="TB11" s="201"/>
      <c r="TC11" s="198"/>
      <c r="TD11" s="166"/>
      <c r="TE11" s="199"/>
      <c r="TF11" s="166"/>
      <c r="TG11" s="199"/>
      <c r="TH11" s="198"/>
      <c r="TI11" s="198"/>
      <c r="TJ11" s="198"/>
      <c r="TK11" s="198"/>
      <c r="TL11" s="198"/>
      <c r="TM11" s="95"/>
      <c r="TN11" s="95"/>
      <c r="TO11" s="95"/>
      <c r="TP11" s="95"/>
      <c r="TQ11" s="95"/>
      <c r="TR11" s="95"/>
      <c r="TS11" s="95"/>
      <c r="TT11" s="95"/>
      <c r="TU11" s="198"/>
      <c r="TV11" s="166"/>
      <c r="TW11" s="206"/>
      <c r="TX11" s="146"/>
      <c r="TY11" s="206"/>
      <c r="TZ11" s="149"/>
      <c r="UA11" s="206"/>
      <c r="UB11" s="154"/>
      <c r="UC11" s="214" t="s">
        <v>378</v>
      </c>
      <c r="UD11" s="169">
        <v>1</v>
      </c>
      <c r="UE11" s="148"/>
      <c r="UF11" s="169"/>
      <c r="UG11" s="148"/>
      <c r="UH11" s="169"/>
      <c r="UI11" s="148"/>
      <c r="UJ11" s="169"/>
      <c r="UK11" s="148"/>
      <c r="UL11" s="170"/>
      <c r="UM11" s="148" t="s">
        <v>379</v>
      </c>
      <c r="UN11" s="171">
        <v>1</v>
      </c>
      <c r="UO11" s="148"/>
      <c r="UP11" s="171"/>
      <c r="UQ11" s="148"/>
      <c r="UR11" s="171"/>
      <c r="US11" s="148"/>
      <c r="UT11" s="171"/>
      <c r="UU11" s="148"/>
      <c r="UV11" s="172"/>
      <c r="UW11" s="148" t="s">
        <v>380</v>
      </c>
      <c r="UX11" s="173">
        <v>1</v>
      </c>
      <c r="UY11" s="148"/>
      <c r="UZ11" s="173"/>
      <c r="VA11" s="148"/>
      <c r="VB11" s="173"/>
      <c r="VC11" s="148"/>
      <c r="VD11" s="173"/>
      <c r="VE11" s="148"/>
      <c r="VF11" s="174"/>
      <c r="VG11" s="148" t="s">
        <v>381</v>
      </c>
      <c r="VH11" s="175">
        <v>1</v>
      </c>
      <c r="VI11" s="148"/>
      <c r="VJ11" s="175"/>
      <c r="VK11" s="148"/>
      <c r="VL11" s="175"/>
      <c r="VM11" s="148"/>
      <c r="VN11" s="175"/>
      <c r="VO11" s="148"/>
      <c r="VP11" s="176"/>
      <c r="VQ11" s="351"/>
      <c r="VR11" s="148"/>
      <c r="VS11" s="105"/>
      <c r="VT11" s="92"/>
      <c r="VU11" s="213"/>
      <c r="VV11" s="105"/>
      <c r="VW11" s="106"/>
      <c r="VX11" s="148"/>
      <c r="VY11" s="105"/>
      <c r="VZ11" s="106"/>
      <c r="WA11" s="213"/>
      <c r="WB11" s="103"/>
      <c r="WC11" s="92"/>
      <c r="WD11" s="213"/>
      <c r="WE11" s="105"/>
      <c r="WF11" s="106"/>
      <c r="WG11" s="213"/>
      <c r="WH11" s="105"/>
      <c r="WI11" s="106"/>
      <c r="WJ11" s="213"/>
      <c r="WK11" s="105"/>
      <c r="WL11" s="148"/>
      <c r="WM11" s="213"/>
      <c r="WN11" s="103"/>
      <c r="WO11" s="352"/>
      <c r="WP11" s="107"/>
      <c r="WQ11" s="151"/>
      <c r="WR11" s="146"/>
      <c r="WS11" s="151"/>
      <c r="WT11" s="149"/>
      <c r="WU11" s="151"/>
      <c r="WV11" s="154"/>
      <c r="WW11" s="179">
        <f>COUNTIF(LX11:PU11,"X")-24</f>
        <v>-24</v>
      </c>
      <c r="WX11" s="182"/>
      <c r="WY11" s="156"/>
      <c r="WZ11" s="156"/>
      <c r="XA11" s="156"/>
      <c r="XB11" s="187"/>
      <c r="XC11" s="115">
        <f t="shared" ref="XC11:XC16" si="37">GQ11</f>
        <v>0</v>
      </c>
      <c r="XD11" s="88"/>
      <c r="XE11" s="109"/>
    </row>
    <row r="12" spans="1:629" s="2" customFormat="1" ht="18.600000000000001" hidden="1" thickBot="1" x14ac:dyDescent="0.4">
      <c r="A12" s="487"/>
      <c r="B12" s="466"/>
      <c r="C12" s="463"/>
      <c r="D12" s="110"/>
      <c r="E12" s="110"/>
      <c r="F12" s="110"/>
      <c r="G12" s="113"/>
      <c r="H12" s="340"/>
      <c r="I12" s="337"/>
      <c r="J12" s="337"/>
      <c r="K12" s="337"/>
      <c r="L12" s="337"/>
      <c r="M12" s="337"/>
      <c r="N12" s="337"/>
      <c r="O12" s="337"/>
      <c r="P12" s="337"/>
      <c r="Q12" s="337"/>
      <c r="R12" s="337"/>
      <c r="S12" s="337"/>
      <c r="T12" s="337"/>
      <c r="U12" s="337"/>
      <c r="V12" s="337"/>
      <c r="W12" s="481"/>
      <c r="X12" s="482"/>
      <c r="Y12" s="455"/>
      <c r="Z12" s="337"/>
      <c r="AA12" s="337"/>
      <c r="AB12" s="337"/>
      <c r="AC12" s="337"/>
      <c r="AD12" s="337"/>
      <c r="AE12" s="337"/>
      <c r="AF12" s="337"/>
      <c r="AG12" s="337"/>
      <c r="AH12" s="337"/>
      <c r="AI12" s="337"/>
      <c r="AJ12" s="337"/>
      <c r="AK12" s="337" t="s">
        <v>349</v>
      </c>
      <c r="AL12" s="337"/>
      <c r="AM12" s="337"/>
      <c r="AN12" s="337"/>
      <c r="AO12" s="337"/>
      <c r="AP12" s="337"/>
      <c r="AQ12" s="337"/>
      <c r="AR12" s="337"/>
      <c r="AS12" s="337"/>
      <c r="AT12" s="337"/>
      <c r="AU12" s="337"/>
      <c r="AV12" s="337"/>
      <c r="AW12" s="337"/>
      <c r="AX12" s="337"/>
      <c r="AY12" s="337"/>
      <c r="AZ12" s="337"/>
      <c r="BA12" s="337"/>
      <c r="BB12" s="337"/>
      <c r="BC12" s="337"/>
      <c r="BD12" s="337"/>
      <c r="BE12" s="337"/>
      <c r="BF12" s="337"/>
      <c r="BG12" s="337"/>
      <c r="BH12" s="337"/>
      <c r="BI12" s="337"/>
      <c r="BJ12" s="337"/>
      <c r="BK12" s="337"/>
      <c r="BL12" s="389"/>
      <c r="BM12" s="337"/>
      <c r="BN12" s="337"/>
      <c r="BO12" s="337"/>
      <c r="BP12" s="337"/>
      <c r="BQ12" s="337"/>
      <c r="BR12" s="337"/>
      <c r="BS12" s="337"/>
      <c r="BT12" s="337"/>
      <c r="BU12" s="337"/>
      <c r="BV12" s="337"/>
      <c r="BW12" s="337"/>
      <c r="BX12" s="389"/>
      <c r="BY12" s="337"/>
      <c r="BZ12" s="337"/>
      <c r="CA12" s="337"/>
      <c r="CB12" s="337"/>
      <c r="CC12" s="337"/>
      <c r="CD12" s="337"/>
      <c r="CE12" s="337"/>
      <c r="CF12" s="337"/>
      <c r="CG12" s="337"/>
      <c r="CH12" s="337"/>
      <c r="CI12" s="337"/>
      <c r="CJ12" s="389"/>
      <c r="CK12" s="337"/>
      <c r="CL12" s="337"/>
      <c r="CM12" s="337"/>
      <c r="CN12" s="337"/>
      <c r="CO12" s="337"/>
      <c r="CP12" s="337"/>
      <c r="CQ12" s="337"/>
      <c r="CR12" s="337"/>
      <c r="CS12" s="337"/>
      <c r="CT12" s="337"/>
      <c r="CU12" s="337"/>
      <c r="CV12" s="389"/>
      <c r="CW12" s="337"/>
      <c r="CX12" s="337"/>
      <c r="CY12" s="337"/>
      <c r="CZ12" s="337"/>
      <c r="DA12" s="337"/>
      <c r="DB12" s="337"/>
      <c r="DC12" s="337"/>
      <c r="DD12" s="337"/>
      <c r="DE12" s="337"/>
      <c r="DF12" s="337"/>
      <c r="DG12" s="337"/>
      <c r="DH12" s="389"/>
      <c r="DI12" s="337"/>
      <c r="DJ12" s="337"/>
      <c r="DK12" s="337"/>
      <c r="DL12" s="343"/>
      <c r="DM12" s="89"/>
      <c r="DN12" s="421">
        <f t="shared" si="1"/>
        <v>0</v>
      </c>
      <c r="DO12" s="416">
        <f t="shared" si="1"/>
        <v>0</v>
      </c>
      <c r="DP12" s="116">
        <f t="shared" si="1"/>
        <v>0</v>
      </c>
      <c r="DQ12" s="116">
        <f t="shared" si="0"/>
        <v>0</v>
      </c>
      <c r="DR12" s="116">
        <f t="shared" si="0"/>
        <v>0</v>
      </c>
      <c r="DS12" s="347">
        <f t="shared" ca="1" si="2"/>
        <v>1518</v>
      </c>
      <c r="DT12" s="408"/>
      <c r="DU12" s="341"/>
      <c r="DV12" s="341"/>
      <c r="DW12" s="418"/>
      <c r="DX12" s="341"/>
      <c r="DY12" s="341"/>
      <c r="DZ12" s="341"/>
      <c r="EA12" s="341"/>
      <c r="EB12" s="341"/>
      <c r="EC12" s="485"/>
      <c r="ED12" s="116"/>
      <c r="EE12" s="123"/>
      <c r="EF12" s="124">
        <f t="shared" si="3"/>
        <v>0</v>
      </c>
      <c r="EG12" s="125">
        <f t="shared" si="4"/>
        <v>0</v>
      </c>
      <c r="EH12" s="126">
        <f t="shared" si="5"/>
        <v>0</v>
      </c>
      <c r="EI12" s="125">
        <f t="shared" si="6"/>
        <v>0</v>
      </c>
      <c r="EJ12" s="126">
        <f t="shared" si="7"/>
        <v>0</v>
      </c>
      <c r="EK12" s="127">
        <f t="shared" si="8"/>
        <v>0</v>
      </c>
      <c r="EL12" s="127">
        <f t="shared" si="9"/>
        <v>0</v>
      </c>
      <c r="EM12" s="127">
        <f t="shared" si="10"/>
        <v>0</v>
      </c>
      <c r="EN12" s="128"/>
      <c r="EO12" s="128"/>
      <c r="EP12" s="128"/>
      <c r="EQ12" s="128">
        <f t="shared" si="11"/>
        <v>0</v>
      </c>
      <c r="ER12" s="127">
        <f t="shared" si="12"/>
        <v>0</v>
      </c>
      <c r="ES12" s="128">
        <f t="shared" si="13"/>
        <v>0</v>
      </c>
      <c r="ET12" s="129">
        <f t="shared" si="14"/>
        <v>0</v>
      </c>
      <c r="EU12" s="130"/>
      <c r="EV12" s="392">
        <f t="shared" si="15"/>
        <v>0</v>
      </c>
      <c r="EW12" s="393">
        <f t="shared" si="16"/>
        <v>0</v>
      </c>
      <c r="EX12" s="393"/>
      <c r="EY12" s="393"/>
      <c r="EZ12" s="393">
        <f t="shared" ref="EZ12:EZ16" si="38">WE12</f>
        <v>0</v>
      </c>
      <c r="FA12" s="394">
        <f t="shared" ref="FA12:FA16" si="39">RM12</f>
        <v>0</v>
      </c>
      <c r="FB12" s="486"/>
      <c r="FC12" s="486"/>
      <c r="FD12" s="393"/>
      <c r="FE12" s="393"/>
      <c r="FF12" s="393">
        <f t="shared" ref="FF12:FF16" si="40">VL12</f>
        <v>0</v>
      </c>
      <c r="FG12" s="393"/>
      <c r="FH12" s="394"/>
      <c r="FI12" s="393">
        <f t="shared" si="17"/>
        <v>0</v>
      </c>
      <c r="FJ12" s="397">
        <f t="shared" si="18"/>
        <v>0</v>
      </c>
      <c r="FK12" s="111"/>
      <c r="FL12" s="132">
        <f t="shared" si="19"/>
        <v>0</v>
      </c>
      <c r="FM12" s="518">
        <f t="shared" si="20"/>
        <v>0</v>
      </c>
      <c r="FN12" s="519"/>
      <c r="FO12" s="519"/>
      <c r="FP12" s="520"/>
      <c r="FQ12" s="518"/>
      <c r="FR12" s="521"/>
      <c r="FS12" s="521"/>
      <c r="FT12" s="521"/>
      <c r="FU12" s="519"/>
      <c r="FV12" s="519"/>
      <c r="FW12" s="519"/>
      <c r="FX12" s="519"/>
      <c r="FY12" s="521"/>
      <c r="FZ12" s="522"/>
      <c r="GA12" s="523"/>
      <c r="GB12" s="110"/>
      <c r="GC12" s="132">
        <f t="shared" si="21"/>
        <v>0</v>
      </c>
      <c r="GD12" s="126">
        <f t="shared" si="22"/>
        <v>0</v>
      </c>
      <c r="GE12" s="125">
        <f t="shared" si="23"/>
        <v>0</v>
      </c>
      <c r="GF12" s="126">
        <f t="shared" si="24"/>
        <v>0</v>
      </c>
      <c r="GG12" s="127">
        <f t="shared" si="25"/>
        <v>0</v>
      </c>
      <c r="GH12" s="127">
        <f t="shared" si="26"/>
        <v>0</v>
      </c>
      <c r="GI12" s="364"/>
      <c r="GJ12" s="128">
        <f t="shared" si="27"/>
        <v>0</v>
      </c>
      <c r="GK12" s="128">
        <f t="shared" si="28"/>
        <v>0</v>
      </c>
      <c r="GL12" s="128">
        <f t="shared" si="29"/>
        <v>0</v>
      </c>
      <c r="GM12" s="128">
        <f t="shared" si="30"/>
        <v>0</v>
      </c>
      <c r="GN12" s="127">
        <f t="shared" si="31"/>
        <v>0</v>
      </c>
      <c r="GO12" s="133">
        <f t="shared" si="32"/>
        <v>0</v>
      </c>
      <c r="GP12" s="129">
        <f t="shared" si="33"/>
        <v>0</v>
      </c>
      <c r="GQ12" s="110"/>
      <c r="GR12" s="88"/>
      <c r="GS12" s="91"/>
      <c r="GT12" s="114">
        <f t="shared" si="34"/>
        <v>0</v>
      </c>
      <c r="GU12" s="90">
        <f t="shared" si="34"/>
        <v>0</v>
      </c>
      <c r="GV12" s="412"/>
      <c r="GW12" s="413"/>
      <c r="GX12" s="413"/>
      <c r="GY12" s="413"/>
      <c r="GZ12" s="413"/>
      <c r="HA12" s="413"/>
      <c r="HB12" s="413"/>
      <c r="HC12" s="413"/>
      <c r="HD12" s="413"/>
      <c r="HE12" s="134"/>
      <c r="HF12" s="135">
        <f t="shared" ref="HF12:HF16" si="41">EE12</f>
        <v>0</v>
      </c>
      <c r="HG12" s="136"/>
      <c r="HH12" s="137"/>
      <c r="HI12" s="136"/>
      <c r="HJ12" s="137"/>
      <c r="HK12" s="135">
        <f t="shared" si="35"/>
        <v>0</v>
      </c>
      <c r="HL12" s="136"/>
      <c r="HM12" s="181"/>
      <c r="HN12" s="136"/>
      <c r="HO12" s="203"/>
      <c r="HP12" s="138">
        <f t="shared" si="36"/>
        <v>0</v>
      </c>
      <c r="HQ12" s="136"/>
      <c r="HR12" s="181"/>
      <c r="HS12" s="136"/>
      <c r="HT12" s="181"/>
      <c r="HU12" s="162"/>
      <c r="HV12" s="162"/>
      <c r="HW12" s="162"/>
      <c r="HX12" s="204"/>
      <c r="HY12" s="135">
        <f t="shared" ref="HY12:HY16" si="42">GB12</f>
        <v>0</v>
      </c>
      <c r="HZ12" s="340"/>
      <c r="IA12" s="337"/>
      <c r="IB12" s="340"/>
      <c r="IC12" s="337"/>
      <c r="ID12" s="337"/>
      <c r="IE12" s="388"/>
      <c r="IF12" s="340"/>
      <c r="IG12" s="337"/>
      <c r="IH12" s="340"/>
      <c r="II12" s="337"/>
      <c r="IJ12" s="337"/>
      <c r="IK12" s="388"/>
      <c r="IL12" s="340"/>
      <c r="IM12" s="337"/>
      <c r="IN12" s="141"/>
      <c r="IO12" s="142"/>
      <c r="IP12" s="142"/>
      <c r="IQ12" s="121"/>
      <c r="IR12" s="340"/>
      <c r="IS12" s="337"/>
      <c r="IT12" s="340"/>
      <c r="IU12" s="337"/>
      <c r="IV12" s="337"/>
      <c r="IW12" s="388"/>
      <c r="IX12" s="340"/>
      <c r="IY12" s="337"/>
      <c r="IZ12" s="340"/>
      <c r="JA12" s="337"/>
      <c r="JB12" s="337"/>
      <c r="JC12" s="388"/>
      <c r="JD12" s="340"/>
      <c r="JE12" s="337"/>
      <c r="JF12" s="340"/>
      <c r="JG12" s="337"/>
      <c r="JH12" s="337"/>
      <c r="JI12" s="390"/>
      <c r="JJ12" s="383"/>
      <c r="JK12" s="337"/>
      <c r="JL12" s="340"/>
      <c r="JM12" s="337"/>
      <c r="JN12" s="337"/>
      <c r="JO12" s="388"/>
      <c r="JP12" s="340"/>
      <c r="JQ12" s="142"/>
      <c r="JR12" s="141"/>
      <c r="JS12" s="142"/>
      <c r="JT12" s="142"/>
      <c r="JU12" s="390"/>
      <c r="JV12" s="383"/>
      <c r="JW12" s="337"/>
      <c r="JX12" s="340"/>
      <c r="JY12" s="337"/>
      <c r="JZ12" s="337"/>
      <c r="KA12" s="388"/>
      <c r="KB12" s="340"/>
      <c r="KC12" s="337"/>
      <c r="KD12" s="340"/>
      <c r="KE12" s="337"/>
      <c r="KF12" s="337"/>
      <c r="KG12" s="390"/>
      <c r="KH12" s="383"/>
      <c r="KI12" s="337"/>
      <c r="KJ12" s="340"/>
      <c r="KK12" s="337"/>
      <c r="KL12" s="337"/>
      <c r="KM12" s="388"/>
      <c r="KN12" s="340"/>
      <c r="KO12" s="337"/>
      <c r="KP12" s="340"/>
      <c r="KQ12" s="337"/>
      <c r="KR12" s="337"/>
      <c r="KS12" s="390"/>
      <c r="KT12" s="383"/>
      <c r="KU12" s="337"/>
      <c r="KV12" s="340"/>
      <c r="KW12" s="337"/>
      <c r="KX12" s="337"/>
      <c r="KY12" s="121"/>
      <c r="KZ12" s="141"/>
      <c r="LA12" s="142"/>
      <c r="LB12" s="141"/>
      <c r="LC12" s="142"/>
      <c r="LD12" s="142"/>
      <c r="LE12" s="177"/>
      <c r="LF12" s="144"/>
      <c r="LG12" s="142"/>
      <c r="LH12" s="141"/>
      <c r="LI12" s="142"/>
      <c r="LJ12" s="142"/>
      <c r="LK12" s="121"/>
      <c r="LL12" s="141"/>
      <c r="LM12" s="142"/>
      <c r="LN12" s="141"/>
      <c r="LO12" s="142"/>
      <c r="LP12" s="142"/>
      <c r="LQ12" s="177"/>
      <c r="LR12" s="144"/>
      <c r="LS12" s="142"/>
      <c r="LT12" s="141"/>
      <c r="LU12" s="142"/>
      <c r="LV12" s="142"/>
      <c r="LW12" s="121"/>
      <c r="LX12" s="143"/>
      <c r="LY12" s="142"/>
      <c r="LZ12" s="143"/>
      <c r="MA12" s="142"/>
      <c r="MB12" s="143"/>
      <c r="MC12" s="121"/>
      <c r="MD12" s="143"/>
      <c r="ME12" s="142"/>
      <c r="MF12" s="143"/>
      <c r="MG12" s="142"/>
      <c r="MH12" s="143"/>
      <c r="MI12" s="121"/>
      <c r="MJ12" s="143"/>
      <c r="MK12" s="142"/>
      <c r="ML12" s="143"/>
      <c r="MM12" s="142"/>
      <c r="MN12" s="143"/>
      <c r="MO12" s="121"/>
      <c r="MP12" s="143"/>
      <c r="MQ12" s="337"/>
      <c r="MR12" s="384"/>
      <c r="MS12" s="337"/>
      <c r="MT12" s="384"/>
      <c r="MU12" s="388"/>
      <c r="MV12" s="384"/>
      <c r="MW12" s="337"/>
      <c r="MX12" s="384"/>
      <c r="MY12" s="337"/>
      <c r="MZ12" s="384"/>
      <c r="NA12" s="388"/>
      <c r="NB12" s="384"/>
      <c r="NC12" s="337"/>
      <c r="ND12" s="384"/>
      <c r="NE12" s="337"/>
      <c r="NF12" s="384"/>
      <c r="NG12" s="388"/>
      <c r="NH12" s="384"/>
      <c r="NI12" s="337"/>
      <c r="NJ12" s="384"/>
      <c r="NK12" s="337"/>
      <c r="NL12" s="384"/>
      <c r="NM12" s="388"/>
      <c r="NN12" s="384"/>
      <c r="NO12" s="337"/>
      <c r="NP12" s="384"/>
      <c r="NQ12" s="337"/>
      <c r="NR12" s="384"/>
      <c r="NS12" s="388"/>
      <c r="NT12" s="384"/>
      <c r="NU12" s="337"/>
      <c r="NV12" s="384"/>
      <c r="NW12" s="337"/>
      <c r="NX12" s="384"/>
      <c r="NY12" s="388"/>
      <c r="NZ12" s="384"/>
      <c r="OA12" s="337"/>
      <c r="OB12" s="384"/>
      <c r="OC12" s="337"/>
      <c r="OD12" s="384"/>
      <c r="OE12" s="388"/>
      <c r="OF12" s="384"/>
      <c r="OG12" s="337"/>
      <c r="OH12" s="384"/>
      <c r="OI12" s="337"/>
      <c r="OJ12" s="384"/>
      <c r="OK12" s="388"/>
      <c r="OL12" s="384"/>
      <c r="OM12" s="337"/>
      <c r="ON12" s="384"/>
      <c r="OO12" s="337"/>
      <c r="OP12" s="384"/>
      <c r="OQ12" s="388"/>
      <c r="OR12" s="143"/>
      <c r="OS12" s="142"/>
      <c r="OT12" s="143"/>
      <c r="OU12" s="142"/>
      <c r="OV12" s="143"/>
      <c r="OW12" s="121"/>
      <c r="OX12" s="143"/>
      <c r="OY12" s="142"/>
      <c r="OZ12" s="143"/>
      <c r="PA12" s="142"/>
      <c r="PB12" s="143"/>
      <c r="PC12" s="121"/>
      <c r="PD12" s="143"/>
      <c r="PE12" s="142"/>
      <c r="PF12" s="384"/>
      <c r="PG12" s="337"/>
      <c r="PH12" s="384"/>
      <c r="PI12" s="388"/>
      <c r="PJ12" s="384"/>
      <c r="PK12" s="337"/>
      <c r="PL12" s="384"/>
      <c r="PM12" s="337"/>
      <c r="PN12" s="384"/>
      <c r="PO12" s="388"/>
      <c r="PP12" s="384"/>
      <c r="PQ12" s="337"/>
      <c r="PR12" s="384"/>
      <c r="PS12" s="337"/>
      <c r="PT12" s="384"/>
      <c r="PU12" s="388"/>
      <c r="PV12" s="191"/>
      <c r="PW12" s="101"/>
      <c r="PX12" s="205"/>
      <c r="PY12" s="101"/>
      <c r="PZ12" s="100"/>
      <c r="QA12" s="146"/>
      <c r="QB12" s="100"/>
      <c r="QC12" s="147"/>
      <c r="QD12" s="143"/>
      <c r="QE12" s="147"/>
      <c r="QF12" s="143"/>
      <c r="QG12" s="149"/>
      <c r="QH12" s="168"/>
      <c r="QI12" s="150"/>
      <c r="QJ12" s="143"/>
      <c r="QK12" s="150"/>
      <c r="QL12" s="143"/>
      <c r="QM12" s="150"/>
      <c r="QN12" s="206"/>
      <c r="QO12" s="146"/>
      <c r="QP12" s="151"/>
      <c r="QQ12" s="149"/>
      <c r="QR12" s="151"/>
      <c r="QS12" s="154"/>
      <c r="QT12" s="156"/>
      <c r="QU12" s="192"/>
      <c r="QV12" s="185"/>
      <c r="QW12" s="158"/>
      <c r="QX12" s="207"/>
      <c r="QY12" s="160"/>
      <c r="QZ12" s="207"/>
      <c r="RA12" s="160"/>
      <c r="RB12" s="207"/>
      <c r="RC12" s="160"/>
      <c r="RD12" s="207"/>
      <c r="RE12" s="157"/>
      <c r="RF12" s="156"/>
      <c r="RG12" s="161"/>
      <c r="RH12" s="162"/>
      <c r="RI12" s="162"/>
      <c r="RJ12" s="164"/>
      <c r="RK12" s="160"/>
      <c r="RL12" s="207"/>
      <c r="RM12" s="163"/>
      <c r="RN12" s="207"/>
      <c r="RO12" s="163"/>
      <c r="RP12" s="207"/>
      <c r="RQ12" s="163"/>
      <c r="RR12" s="207"/>
      <c r="RS12" s="157"/>
      <c r="RT12" s="156"/>
      <c r="RU12" s="161"/>
      <c r="RV12" s="161"/>
      <c r="RW12" s="161"/>
      <c r="RX12" s="161"/>
      <c r="RY12" s="162"/>
      <c r="RZ12" s="162"/>
      <c r="SA12" s="164"/>
      <c r="SB12" s="163"/>
      <c r="SC12" s="208"/>
      <c r="SD12" s="198"/>
      <c r="SE12" s="165"/>
      <c r="SF12" s="207"/>
      <c r="SG12" s="198"/>
      <c r="SH12" s="165"/>
      <c r="SI12" s="207"/>
      <c r="SJ12" s="165"/>
      <c r="SK12" s="207"/>
      <c r="SL12" s="157"/>
      <c r="SM12" s="156"/>
      <c r="SN12" s="161"/>
      <c r="SO12" s="161"/>
      <c r="SP12" s="161"/>
      <c r="SQ12" s="161"/>
      <c r="SR12" s="161"/>
      <c r="SS12" s="161"/>
      <c r="ST12" s="162"/>
      <c r="SU12" s="162"/>
      <c r="SV12" s="164"/>
      <c r="SW12" s="165"/>
      <c r="SX12" s="208"/>
      <c r="SY12" s="198"/>
      <c r="SZ12" s="166"/>
      <c r="TA12" s="208"/>
      <c r="TB12" s="156"/>
      <c r="TC12" s="198"/>
      <c r="TD12" s="166"/>
      <c r="TE12" s="207"/>
      <c r="TF12" s="166"/>
      <c r="TG12" s="207"/>
      <c r="TH12" s="157"/>
      <c r="TI12" s="156"/>
      <c r="TJ12" s="161"/>
      <c r="TK12" s="161"/>
      <c r="TL12" s="161"/>
      <c r="TM12" s="161"/>
      <c r="TN12" s="161"/>
      <c r="TO12" s="161"/>
      <c r="TP12" s="161"/>
      <c r="TQ12" s="161"/>
      <c r="TR12" s="161"/>
      <c r="TS12" s="162"/>
      <c r="TT12" s="162"/>
      <c r="TU12" s="164"/>
      <c r="TV12" s="166"/>
      <c r="TW12" s="206"/>
      <c r="TX12" s="146"/>
      <c r="TY12" s="151"/>
      <c r="TZ12" s="149"/>
      <c r="UA12" s="151"/>
      <c r="UB12" s="154"/>
      <c r="UC12" s="191"/>
      <c r="UD12" s="169"/>
      <c r="UE12" s="143"/>
      <c r="UF12" s="169"/>
      <c r="UG12" s="143"/>
      <c r="UH12" s="169"/>
      <c r="UI12" s="143"/>
      <c r="UJ12" s="169"/>
      <c r="UK12" s="143"/>
      <c r="UL12" s="170"/>
      <c r="UM12" s="143"/>
      <c r="UN12" s="171"/>
      <c r="UO12" s="143"/>
      <c r="UP12" s="171"/>
      <c r="UQ12" s="143"/>
      <c r="UR12" s="171"/>
      <c r="US12" s="143"/>
      <c r="UT12" s="171"/>
      <c r="UU12" s="143"/>
      <c r="UV12" s="172"/>
      <c r="UW12" s="143"/>
      <c r="UX12" s="173"/>
      <c r="UY12" s="143"/>
      <c r="UZ12" s="173"/>
      <c r="VA12" s="143"/>
      <c r="VB12" s="173"/>
      <c r="VC12" s="143"/>
      <c r="VD12" s="173"/>
      <c r="VE12" s="143"/>
      <c r="VF12" s="174"/>
      <c r="VG12" s="143"/>
      <c r="VH12" s="175"/>
      <c r="VI12" s="143"/>
      <c r="VJ12" s="175"/>
      <c r="VK12" s="143"/>
      <c r="VL12" s="175"/>
      <c r="VM12" s="143"/>
      <c r="VN12" s="175"/>
      <c r="VO12" s="143"/>
      <c r="VP12" s="176"/>
      <c r="VQ12" s="193"/>
      <c r="VR12" s="205"/>
      <c r="VS12" s="105"/>
      <c r="VT12" s="202"/>
      <c r="VU12" s="186"/>
      <c r="VV12" s="105"/>
      <c r="VW12" s="202"/>
      <c r="VX12" s="205"/>
      <c r="VY12" s="105"/>
      <c r="VZ12" s="209"/>
      <c r="WA12" s="186"/>
      <c r="WB12" s="105"/>
      <c r="WC12" s="202"/>
      <c r="WD12" s="186"/>
      <c r="WE12" s="105"/>
      <c r="WF12" s="209"/>
      <c r="WG12" s="186"/>
      <c r="WH12" s="105"/>
      <c r="WI12" s="141"/>
      <c r="WJ12" s="177"/>
      <c r="WK12" s="105"/>
      <c r="WL12" s="143"/>
      <c r="WM12" s="177"/>
      <c r="WN12" s="103"/>
      <c r="WO12" s="178"/>
      <c r="WP12" s="107"/>
      <c r="WQ12" s="206"/>
      <c r="WR12" s="146"/>
      <c r="WS12" s="151"/>
      <c r="WT12" s="149"/>
      <c r="WU12" s="151"/>
      <c r="WV12" s="154"/>
      <c r="WW12" s="352" t="s">
        <v>349</v>
      </c>
      <c r="WX12" s="182"/>
      <c r="WY12" s="162"/>
      <c r="WZ12" s="162"/>
      <c r="XA12" s="162"/>
      <c r="XB12" s="210"/>
      <c r="XC12" s="115">
        <f t="shared" si="37"/>
        <v>0</v>
      </c>
      <c r="XD12" s="88"/>
      <c r="XE12" s="109"/>
    </row>
    <row r="13" spans="1:629" s="2" customFormat="1" ht="18" x14ac:dyDescent="0.3">
      <c r="A13" s="112"/>
      <c r="B13" s="466"/>
      <c r="C13" s="194"/>
      <c r="D13" s="196"/>
      <c r="E13" s="195"/>
      <c r="F13" s="195"/>
      <c r="G13" s="113"/>
      <c r="H13" s="355"/>
      <c r="I13" s="339"/>
      <c r="J13" s="339"/>
      <c r="K13" s="339"/>
      <c r="L13" s="339"/>
      <c r="M13" s="339"/>
      <c r="N13" s="339"/>
      <c r="O13" s="338"/>
      <c r="P13" s="339"/>
      <c r="Q13" s="338"/>
      <c r="R13" s="339"/>
      <c r="S13" s="382"/>
      <c r="T13" s="494"/>
      <c r="U13" s="495"/>
      <c r="V13" s="496"/>
      <c r="W13" s="495"/>
      <c r="X13" s="494"/>
      <c r="Y13" s="495"/>
      <c r="Z13" s="495"/>
      <c r="AA13" s="495"/>
      <c r="AB13" s="494"/>
      <c r="AC13" s="496"/>
      <c r="AD13" s="495"/>
      <c r="AE13" s="497"/>
      <c r="AF13" s="498"/>
      <c r="AG13" s="495"/>
      <c r="AH13" s="496"/>
      <c r="AI13" s="495"/>
      <c r="AJ13" s="495"/>
      <c r="AK13" s="495"/>
      <c r="AL13" s="495"/>
      <c r="AM13" s="508"/>
      <c r="AN13" s="508"/>
      <c r="AO13" s="508"/>
      <c r="AP13" s="508"/>
      <c r="AQ13" s="509"/>
      <c r="AR13" s="510"/>
      <c r="AS13" s="508"/>
      <c r="AT13" s="495"/>
      <c r="AU13" s="495"/>
      <c r="AV13" s="495"/>
      <c r="AW13" s="511"/>
      <c r="AX13" s="488"/>
      <c r="AY13" s="488"/>
      <c r="AZ13" s="512"/>
      <c r="BA13" s="513"/>
      <c r="BB13" s="339"/>
      <c r="BC13" s="382"/>
      <c r="BD13" s="358"/>
      <c r="BE13" s="355"/>
      <c r="BF13" s="338"/>
      <c r="BG13" s="339"/>
      <c r="BH13" s="355"/>
      <c r="BI13" s="339"/>
      <c r="BJ13" s="339"/>
      <c r="BK13" s="339" t="s">
        <v>349</v>
      </c>
      <c r="BL13" s="339"/>
      <c r="BM13" s="339"/>
      <c r="BN13" s="339"/>
      <c r="BO13" s="382"/>
      <c r="BP13" s="358"/>
      <c r="BQ13" s="355"/>
      <c r="BR13" s="338"/>
      <c r="BS13" s="339"/>
      <c r="BT13" s="355"/>
      <c r="BU13" s="339"/>
      <c r="BV13" s="339"/>
      <c r="BW13" s="339"/>
      <c r="BX13" s="339"/>
      <c r="BY13" s="339" t="s">
        <v>349</v>
      </c>
      <c r="BZ13" s="339"/>
      <c r="CA13" s="382"/>
      <c r="CB13" s="358"/>
      <c r="CC13" s="355"/>
      <c r="CD13" s="338"/>
      <c r="CE13" s="339"/>
      <c r="CF13" s="355"/>
      <c r="CG13" s="339"/>
      <c r="CH13" s="339"/>
      <c r="CI13" s="339"/>
      <c r="CJ13" s="339"/>
      <c r="CK13" s="339"/>
      <c r="CL13" s="339"/>
      <c r="CM13" s="382" t="s">
        <v>349</v>
      </c>
      <c r="CN13" s="358"/>
      <c r="CO13" s="355"/>
      <c r="CP13" s="338"/>
      <c r="CQ13" s="339"/>
      <c r="CR13" s="355"/>
      <c r="CS13" s="339"/>
      <c r="CT13" s="339"/>
      <c r="CU13" s="339"/>
      <c r="CV13" s="339"/>
      <c r="CW13" s="339"/>
      <c r="CX13" s="339"/>
      <c r="CY13" s="382"/>
      <c r="CZ13" s="358"/>
      <c r="DA13" s="355" t="s">
        <v>349</v>
      </c>
      <c r="DB13" s="338"/>
      <c r="DC13" s="339"/>
      <c r="DD13" s="355"/>
      <c r="DE13" s="339"/>
      <c r="DF13" s="495"/>
      <c r="DG13" s="495"/>
      <c r="DH13" s="495"/>
      <c r="DI13" s="495"/>
      <c r="DJ13" s="495"/>
      <c r="DK13" s="497"/>
      <c r="DL13" s="88"/>
      <c r="DM13" s="89"/>
      <c r="DN13" s="421">
        <f t="shared" si="1"/>
        <v>0</v>
      </c>
      <c r="DO13" s="416">
        <f t="shared" si="1"/>
        <v>0</v>
      </c>
      <c r="DP13" s="116">
        <f t="shared" si="1"/>
        <v>0</v>
      </c>
      <c r="DQ13" s="116">
        <f t="shared" si="0"/>
        <v>0</v>
      </c>
      <c r="DR13" s="116">
        <f t="shared" si="0"/>
        <v>0</v>
      </c>
      <c r="DS13" s="117">
        <f t="shared" ca="1" si="2"/>
        <v>1518</v>
      </c>
      <c r="DT13" s="489"/>
      <c r="DU13" s="418"/>
      <c r="DV13" s="418"/>
      <c r="DW13" s="417"/>
      <c r="DX13" s="418"/>
      <c r="DY13" s="418"/>
      <c r="DZ13" s="418"/>
      <c r="EA13" s="418"/>
      <c r="EB13" s="490"/>
      <c r="EC13" s="419"/>
      <c r="ED13" s="122">
        <f>HE13</f>
        <v>0</v>
      </c>
      <c r="EE13" s="123"/>
      <c r="EF13" s="124">
        <f t="shared" si="3"/>
        <v>0</v>
      </c>
      <c r="EG13" s="125">
        <f t="shared" si="4"/>
        <v>0</v>
      </c>
      <c r="EH13" s="126">
        <f t="shared" si="5"/>
        <v>0</v>
      </c>
      <c r="EI13" s="125">
        <f t="shared" si="6"/>
        <v>0</v>
      </c>
      <c r="EJ13" s="126">
        <f t="shared" si="7"/>
        <v>0</v>
      </c>
      <c r="EK13" s="127">
        <f t="shared" si="8"/>
        <v>0</v>
      </c>
      <c r="EL13" s="127">
        <f t="shared" si="9"/>
        <v>0</v>
      </c>
      <c r="EM13" s="127">
        <f t="shared" si="10"/>
        <v>0</v>
      </c>
      <c r="EN13" s="128"/>
      <c r="EO13" s="128"/>
      <c r="EP13" s="128"/>
      <c r="EQ13" s="128">
        <f t="shared" si="11"/>
        <v>0</v>
      </c>
      <c r="ER13" s="127">
        <f t="shared" si="12"/>
        <v>0</v>
      </c>
      <c r="ES13" s="128">
        <f t="shared" si="13"/>
        <v>0</v>
      </c>
      <c r="ET13" s="129">
        <f t="shared" si="14"/>
        <v>0</v>
      </c>
      <c r="EU13" s="130"/>
      <c r="EV13" s="118">
        <f t="shared" si="15"/>
        <v>0</v>
      </c>
      <c r="EW13" s="119">
        <f t="shared" si="16"/>
        <v>0</v>
      </c>
      <c r="EX13" s="119">
        <f>PY13</f>
        <v>0</v>
      </c>
      <c r="EY13" s="119">
        <f>QC13</f>
        <v>0</v>
      </c>
      <c r="EZ13" s="119">
        <f t="shared" si="38"/>
        <v>0</v>
      </c>
      <c r="FA13" s="120">
        <f t="shared" si="39"/>
        <v>0</v>
      </c>
      <c r="FB13" s="120">
        <f t="shared" ref="FB13:FB16" si="43">RO13</f>
        <v>0</v>
      </c>
      <c r="FC13" s="120">
        <f t="shared" ref="FC13:FC16" si="44">RQ13</f>
        <v>0</v>
      </c>
      <c r="FD13" s="119">
        <f>UR13</f>
        <v>0</v>
      </c>
      <c r="FE13" s="119">
        <f>VB13</f>
        <v>0</v>
      </c>
      <c r="FF13" s="119">
        <f t="shared" si="40"/>
        <v>0</v>
      </c>
      <c r="FG13" s="119">
        <f>QQ13</f>
        <v>0</v>
      </c>
      <c r="FH13" s="120">
        <f>SB13</f>
        <v>0</v>
      </c>
      <c r="FI13" s="119">
        <f t="shared" si="17"/>
        <v>0</v>
      </c>
      <c r="FJ13" s="131">
        <f t="shared" si="18"/>
        <v>0</v>
      </c>
      <c r="FK13" s="111"/>
      <c r="FL13" s="132">
        <f t="shared" si="19"/>
        <v>0</v>
      </c>
      <c r="FM13" s="518">
        <f t="shared" si="20"/>
        <v>0</v>
      </c>
      <c r="FN13" s="519"/>
      <c r="FO13" s="519"/>
      <c r="FP13" s="520"/>
      <c r="FQ13" s="518"/>
      <c r="FR13" s="521"/>
      <c r="FS13" s="521"/>
      <c r="FT13" s="521"/>
      <c r="FU13" s="519"/>
      <c r="FV13" s="519"/>
      <c r="FW13" s="519"/>
      <c r="FX13" s="519"/>
      <c r="FY13" s="521"/>
      <c r="FZ13" s="522"/>
      <c r="GA13" s="523"/>
      <c r="GB13" s="110"/>
      <c r="GC13" s="132">
        <f t="shared" si="21"/>
        <v>0</v>
      </c>
      <c r="GD13" s="126">
        <f t="shared" si="22"/>
        <v>0</v>
      </c>
      <c r="GE13" s="125">
        <f t="shared" si="23"/>
        <v>0</v>
      </c>
      <c r="GF13" s="126">
        <f t="shared" si="24"/>
        <v>0</v>
      </c>
      <c r="GG13" s="127">
        <f t="shared" si="25"/>
        <v>0</v>
      </c>
      <c r="GH13" s="127">
        <f t="shared" si="26"/>
        <v>0</v>
      </c>
      <c r="GI13" s="127">
        <f>TF13</f>
        <v>0</v>
      </c>
      <c r="GJ13" s="128">
        <f t="shared" si="27"/>
        <v>0</v>
      </c>
      <c r="GK13" s="128">
        <f t="shared" si="28"/>
        <v>0</v>
      </c>
      <c r="GL13" s="128">
        <f t="shared" si="29"/>
        <v>0</v>
      </c>
      <c r="GM13" s="128">
        <f t="shared" si="30"/>
        <v>0</v>
      </c>
      <c r="GN13" s="127">
        <f t="shared" si="31"/>
        <v>0</v>
      </c>
      <c r="GO13" s="133">
        <f t="shared" si="32"/>
        <v>0</v>
      </c>
      <c r="GP13" s="129">
        <f t="shared" si="33"/>
        <v>0</v>
      </c>
      <c r="GQ13" s="110"/>
      <c r="GR13" s="88"/>
      <c r="GS13" s="211"/>
      <c r="GT13" s="114">
        <f t="shared" si="34"/>
        <v>0</v>
      </c>
      <c r="GU13" s="114">
        <f t="shared" si="34"/>
        <v>0</v>
      </c>
      <c r="GV13" s="524"/>
      <c r="GW13" s="525"/>
      <c r="GX13" s="525"/>
      <c r="GY13" s="491"/>
      <c r="GZ13" s="415"/>
      <c r="HA13" s="491"/>
      <c r="HB13" s="491"/>
      <c r="HC13" s="491"/>
      <c r="HD13" s="491"/>
      <c r="HE13" s="134"/>
      <c r="HF13" s="135">
        <f t="shared" si="41"/>
        <v>0</v>
      </c>
      <c r="HG13" s="136"/>
      <c r="HH13" s="137"/>
      <c r="HI13" s="136"/>
      <c r="HJ13" s="137"/>
      <c r="HK13" s="135">
        <f t="shared" si="35"/>
        <v>0</v>
      </c>
      <c r="HL13" s="136"/>
      <c r="HM13" s="93"/>
      <c r="HN13" s="136"/>
      <c r="HO13" s="93"/>
      <c r="HP13" s="138">
        <f t="shared" si="36"/>
        <v>0</v>
      </c>
      <c r="HQ13" s="136"/>
      <c r="HR13" s="93"/>
      <c r="HS13" s="136"/>
      <c r="HT13" s="94"/>
      <c r="HU13" s="162"/>
      <c r="HV13" s="162"/>
      <c r="HW13" s="162"/>
      <c r="HX13" s="96"/>
      <c r="HY13" s="135">
        <f t="shared" si="42"/>
        <v>0</v>
      </c>
      <c r="HZ13" s="141"/>
      <c r="IA13" s="142"/>
      <c r="IB13" s="141"/>
      <c r="IC13" s="142"/>
      <c r="ID13" s="142"/>
      <c r="IE13" s="121"/>
      <c r="IF13" s="144"/>
      <c r="IG13" s="142"/>
      <c r="IH13" s="141"/>
      <c r="II13" s="142"/>
      <c r="IJ13" s="142"/>
      <c r="IK13" s="121"/>
      <c r="IL13" s="141"/>
      <c r="IM13" s="142"/>
      <c r="IN13" s="141"/>
      <c r="IO13" s="142"/>
      <c r="IP13" s="142"/>
      <c r="IQ13" s="121"/>
      <c r="IR13" s="141"/>
      <c r="IS13" s="142"/>
      <c r="IT13" s="141"/>
      <c r="IU13" s="142"/>
      <c r="IV13" s="142"/>
      <c r="IW13" s="121"/>
      <c r="IX13" s="141"/>
      <c r="IY13" s="142"/>
      <c r="IZ13" s="141"/>
      <c r="JA13" s="142"/>
      <c r="JB13" s="142"/>
      <c r="JC13" s="121"/>
      <c r="JD13" s="144"/>
      <c r="JE13" s="142"/>
      <c r="JF13" s="141"/>
      <c r="JG13" s="142"/>
      <c r="JH13" s="142"/>
      <c r="JI13" s="177"/>
      <c r="JJ13" s="144"/>
      <c r="JK13" s="142"/>
      <c r="JL13" s="141"/>
      <c r="JM13" s="142"/>
      <c r="JN13" s="142"/>
      <c r="JO13" s="121"/>
      <c r="JP13" s="141"/>
      <c r="JQ13" s="142"/>
      <c r="JR13" s="141"/>
      <c r="JS13" s="142"/>
      <c r="JT13" s="142"/>
      <c r="JU13" s="177"/>
      <c r="JV13" s="144"/>
      <c r="JW13" s="142"/>
      <c r="JX13" s="141"/>
      <c r="JY13" s="142"/>
      <c r="JZ13" s="142"/>
      <c r="KA13" s="121"/>
      <c r="KB13" s="141"/>
      <c r="KC13" s="142"/>
      <c r="KD13" s="141"/>
      <c r="KE13" s="142"/>
      <c r="KF13" s="142"/>
      <c r="KG13" s="177"/>
      <c r="KH13" s="144"/>
      <c r="KI13" s="142"/>
      <c r="KJ13" s="141"/>
      <c r="KK13" s="142"/>
      <c r="KL13" s="142"/>
      <c r="KM13" s="121"/>
      <c r="KN13" s="144"/>
      <c r="KO13" s="142"/>
      <c r="KP13" s="141"/>
      <c r="KQ13" s="142"/>
      <c r="KR13" s="142"/>
      <c r="KS13" s="177"/>
      <c r="KT13" s="144"/>
      <c r="KU13" s="142"/>
      <c r="KV13" s="141"/>
      <c r="KW13" s="142"/>
      <c r="KX13" s="142"/>
      <c r="KY13" s="121"/>
      <c r="KZ13" s="141"/>
      <c r="LA13" s="142"/>
      <c r="LB13" s="141"/>
      <c r="LC13" s="142"/>
      <c r="LD13" s="142"/>
      <c r="LE13" s="177"/>
      <c r="LF13" s="144"/>
      <c r="LG13" s="142"/>
      <c r="LH13" s="141"/>
      <c r="LI13" s="142"/>
      <c r="LJ13" s="142"/>
      <c r="LK13" s="121"/>
      <c r="LL13" s="141"/>
      <c r="LM13" s="142"/>
      <c r="LN13" s="141"/>
      <c r="LO13" s="142"/>
      <c r="LP13" s="142"/>
      <c r="LQ13" s="177"/>
      <c r="LR13" s="144"/>
      <c r="LS13" s="142"/>
      <c r="LT13" s="141"/>
      <c r="LU13" s="142"/>
      <c r="LV13" s="142"/>
      <c r="LW13" s="121"/>
      <c r="LX13" s="143"/>
      <c r="LY13" s="142"/>
      <c r="LZ13" s="143"/>
      <c r="MA13" s="142"/>
      <c r="MB13" s="143"/>
      <c r="MC13" s="121"/>
      <c r="MD13" s="143"/>
      <c r="ME13" s="142"/>
      <c r="MF13" s="143"/>
      <c r="MG13" s="142"/>
      <c r="MH13" s="143"/>
      <c r="MI13" s="121"/>
      <c r="MJ13" s="143"/>
      <c r="MK13" s="142"/>
      <c r="ML13" s="143"/>
      <c r="MM13" s="142"/>
      <c r="MN13" s="143"/>
      <c r="MO13" s="121"/>
      <c r="MP13" s="143"/>
      <c r="MQ13" s="142"/>
      <c r="MR13" s="143"/>
      <c r="MS13" s="142"/>
      <c r="MT13" s="143"/>
      <c r="MU13" s="121"/>
      <c r="MV13" s="143"/>
      <c r="MW13" s="142"/>
      <c r="MX13" s="143"/>
      <c r="MY13" s="142"/>
      <c r="MZ13" s="143"/>
      <c r="NA13" s="121"/>
      <c r="NB13" s="143"/>
      <c r="NC13" s="142"/>
      <c r="ND13" s="143"/>
      <c r="NE13" s="142"/>
      <c r="NF13" s="143"/>
      <c r="NG13" s="121"/>
      <c r="NH13" s="143"/>
      <c r="NI13" s="142"/>
      <c r="NJ13" s="143"/>
      <c r="NK13" s="142"/>
      <c r="NL13" s="143"/>
      <c r="NM13" s="121"/>
      <c r="NN13" s="143"/>
      <c r="NO13" s="142"/>
      <c r="NP13" s="143"/>
      <c r="NQ13" s="142"/>
      <c r="NR13" s="143"/>
      <c r="NS13" s="121"/>
      <c r="NT13" s="143"/>
      <c r="NU13" s="142"/>
      <c r="NV13" s="143"/>
      <c r="NW13" s="142"/>
      <c r="NX13" s="143"/>
      <c r="NY13" s="121"/>
      <c r="NZ13" s="143"/>
      <c r="OA13" s="142"/>
      <c r="OB13" s="143"/>
      <c r="OC13" s="142"/>
      <c r="OD13" s="143"/>
      <c r="OE13" s="121"/>
      <c r="OF13" s="143"/>
      <c r="OG13" s="142"/>
      <c r="OH13" s="143"/>
      <c r="OI13" s="142"/>
      <c r="OJ13" s="143"/>
      <c r="OK13" s="121"/>
      <c r="OL13" s="143"/>
      <c r="OM13" s="142"/>
      <c r="ON13" s="143"/>
      <c r="OO13" s="142"/>
      <c r="OP13" s="143"/>
      <c r="OQ13" s="121"/>
      <c r="OR13" s="143"/>
      <c r="OS13" s="142"/>
      <c r="OT13" s="143"/>
      <c r="OU13" s="142"/>
      <c r="OV13" s="143"/>
      <c r="OW13" s="121"/>
      <c r="OX13" s="143"/>
      <c r="OY13" s="142"/>
      <c r="OZ13" s="143"/>
      <c r="PA13" s="142"/>
      <c r="PB13" s="143"/>
      <c r="PC13" s="121"/>
      <c r="PD13" s="143"/>
      <c r="PE13" s="142"/>
      <c r="PF13" s="384"/>
      <c r="PG13" s="337"/>
      <c r="PH13" s="384"/>
      <c r="PI13" s="388"/>
      <c r="PJ13" s="384"/>
      <c r="PK13" s="337"/>
      <c r="PL13" s="384"/>
      <c r="PM13" s="337"/>
      <c r="PN13" s="384"/>
      <c r="PO13" s="388"/>
      <c r="PP13" s="384"/>
      <c r="PQ13" s="337"/>
      <c r="PR13" s="384"/>
      <c r="PS13" s="337"/>
      <c r="PT13" s="384"/>
      <c r="PU13" s="388"/>
      <c r="PV13" s="168"/>
      <c r="PW13" s="101"/>
      <c r="PX13" s="143"/>
      <c r="PY13" s="101"/>
      <c r="PZ13" s="205"/>
      <c r="QA13" s="146"/>
      <c r="QB13" s="145"/>
      <c r="QC13" s="147"/>
      <c r="QD13" s="100"/>
      <c r="QE13" s="147"/>
      <c r="QF13" s="205"/>
      <c r="QG13" s="149"/>
      <c r="QH13" s="100"/>
      <c r="QI13" s="150"/>
      <c r="QJ13" s="100"/>
      <c r="QK13" s="150"/>
      <c r="QL13" s="205"/>
      <c r="QM13" s="154"/>
      <c r="QN13" s="151"/>
      <c r="QO13" s="146"/>
      <c r="QP13" s="212"/>
      <c r="QQ13" s="149"/>
      <c r="QR13" s="212"/>
      <c r="QS13" s="154"/>
      <c r="QT13" s="208"/>
      <c r="QU13" s="162"/>
      <c r="QV13" s="164"/>
      <c r="QW13" s="158"/>
      <c r="QX13" s="159"/>
      <c r="QY13" s="160"/>
      <c r="QZ13" s="159"/>
      <c r="RA13" s="160"/>
      <c r="RB13" s="159"/>
      <c r="RC13" s="160"/>
      <c r="RD13" s="159"/>
      <c r="RE13" s="198"/>
      <c r="RF13" s="198"/>
      <c r="RG13" s="156"/>
      <c r="RH13" s="156"/>
      <c r="RI13" s="156"/>
      <c r="RJ13" s="157"/>
      <c r="RK13" s="160"/>
      <c r="RL13" s="159"/>
      <c r="RM13" s="163"/>
      <c r="RN13" s="159"/>
      <c r="RO13" s="163"/>
      <c r="RP13" s="159"/>
      <c r="RQ13" s="163"/>
      <c r="RR13" s="159"/>
      <c r="RS13" s="198"/>
      <c r="RT13" s="198"/>
      <c r="RU13" s="157"/>
      <c r="RV13" s="157"/>
      <c r="RW13" s="156"/>
      <c r="RX13" s="156"/>
      <c r="RY13" s="156"/>
      <c r="RZ13" s="156"/>
      <c r="SA13" s="157"/>
      <c r="SB13" s="163"/>
      <c r="SC13" s="155"/>
      <c r="SD13" s="198"/>
      <c r="SE13" s="165"/>
      <c r="SF13" s="159"/>
      <c r="SG13" s="198"/>
      <c r="SH13" s="165"/>
      <c r="SI13" s="159"/>
      <c r="SJ13" s="165"/>
      <c r="SK13" s="159"/>
      <c r="SL13" s="198"/>
      <c r="SM13" s="198"/>
      <c r="SN13" s="157"/>
      <c r="SO13" s="157"/>
      <c r="SP13" s="156"/>
      <c r="SQ13" s="156"/>
      <c r="SR13" s="156"/>
      <c r="SS13" s="156"/>
      <c r="ST13" s="156"/>
      <c r="SU13" s="156"/>
      <c r="SV13" s="157"/>
      <c r="SW13" s="165"/>
      <c r="SX13" s="155"/>
      <c r="SY13" s="198"/>
      <c r="SZ13" s="166"/>
      <c r="TA13" s="155"/>
      <c r="TB13" s="201"/>
      <c r="TC13" s="198"/>
      <c r="TD13" s="166"/>
      <c r="TE13" s="159"/>
      <c r="TF13" s="166"/>
      <c r="TG13" s="159"/>
      <c r="TH13" s="198"/>
      <c r="TI13" s="198"/>
      <c r="TJ13" s="157"/>
      <c r="TK13" s="157"/>
      <c r="TL13" s="156"/>
      <c r="TM13" s="156"/>
      <c r="TN13" s="156"/>
      <c r="TO13" s="156"/>
      <c r="TP13" s="156"/>
      <c r="TQ13" s="156"/>
      <c r="TR13" s="156"/>
      <c r="TS13" s="156"/>
      <c r="TT13" s="156"/>
      <c r="TU13" s="157"/>
      <c r="TV13" s="166"/>
      <c r="TW13" s="151"/>
      <c r="TX13" s="146"/>
      <c r="TY13" s="152"/>
      <c r="TZ13" s="149"/>
      <c r="UA13" s="152"/>
      <c r="UB13" s="154"/>
      <c r="UC13" s="168"/>
      <c r="UD13" s="169"/>
      <c r="UE13" s="143"/>
      <c r="UF13" s="169"/>
      <c r="UG13" s="143"/>
      <c r="UH13" s="169"/>
      <c r="UI13" s="143"/>
      <c r="UJ13" s="169"/>
      <c r="UK13" s="148"/>
      <c r="UL13" s="170"/>
      <c r="UM13" s="148"/>
      <c r="UN13" s="171"/>
      <c r="UO13" s="148"/>
      <c r="UP13" s="171"/>
      <c r="UQ13" s="148"/>
      <c r="UR13" s="171"/>
      <c r="US13" s="148"/>
      <c r="UT13" s="171"/>
      <c r="UU13" s="148"/>
      <c r="UV13" s="172"/>
      <c r="UW13" s="148"/>
      <c r="UX13" s="173"/>
      <c r="UY13" s="148"/>
      <c r="UZ13" s="173"/>
      <c r="VA13" s="100"/>
      <c r="VB13" s="173"/>
      <c r="VC13" s="100"/>
      <c r="VD13" s="173"/>
      <c r="VE13" s="177"/>
      <c r="VF13" s="174"/>
      <c r="VG13" s="148" t="s">
        <v>381</v>
      </c>
      <c r="VH13" s="175">
        <v>1</v>
      </c>
      <c r="VI13" s="148"/>
      <c r="VJ13" s="175"/>
      <c r="VK13" s="148"/>
      <c r="VL13" s="175"/>
      <c r="VM13" s="148"/>
      <c r="VN13" s="175"/>
      <c r="VO13" s="148"/>
      <c r="VP13" s="215"/>
      <c r="VQ13" s="144"/>
      <c r="VR13" s="143"/>
      <c r="VS13" s="105"/>
      <c r="VT13" s="142"/>
      <c r="VU13" s="177"/>
      <c r="VV13" s="105"/>
      <c r="VW13" s="142"/>
      <c r="VX13" s="143"/>
      <c r="VY13" s="103"/>
      <c r="VZ13" s="142"/>
      <c r="WA13" s="177"/>
      <c r="WB13" s="105"/>
      <c r="WC13" s="142"/>
      <c r="WD13" s="177"/>
      <c r="WE13" s="105"/>
      <c r="WF13" s="142"/>
      <c r="WG13" s="177"/>
      <c r="WH13" s="105"/>
      <c r="WI13" s="142"/>
      <c r="WJ13" s="177"/>
      <c r="WK13" s="103"/>
      <c r="WL13" s="177"/>
      <c r="WM13" s="177"/>
      <c r="WN13" s="103"/>
      <c r="WO13" s="178"/>
      <c r="WP13" s="107"/>
      <c r="WQ13" s="151"/>
      <c r="WR13" s="146"/>
      <c r="WS13" s="152"/>
      <c r="WT13" s="149"/>
      <c r="WU13" s="152"/>
      <c r="WV13" s="154"/>
      <c r="WW13" s="179"/>
      <c r="WX13" s="108"/>
      <c r="WY13" s="162"/>
      <c r="WZ13" s="162"/>
      <c r="XA13" s="162"/>
      <c r="XB13" s="108"/>
      <c r="XC13" s="115">
        <f t="shared" si="37"/>
        <v>0</v>
      </c>
      <c r="XD13" s="88"/>
      <c r="XE13" s="109"/>
    </row>
    <row r="14" spans="1:629" s="2" customFormat="1" ht="18.600000000000001" thickBot="1" x14ac:dyDescent="0.35">
      <c r="A14" s="112"/>
      <c r="B14" s="466"/>
      <c r="C14" s="194"/>
      <c r="D14" s="196"/>
      <c r="E14" s="195"/>
      <c r="F14" s="195"/>
      <c r="G14" s="113"/>
      <c r="H14" s="340"/>
      <c r="I14" s="337"/>
      <c r="J14" s="337"/>
      <c r="K14" s="337"/>
      <c r="L14" s="337"/>
      <c r="M14" s="337"/>
      <c r="N14" s="337"/>
      <c r="O14" s="384"/>
      <c r="P14" s="337"/>
      <c r="Q14" s="384"/>
      <c r="R14" s="337"/>
      <c r="S14" s="385"/>
      <c r="T14" s="499"/>
      <c r="U14" s="493"/>
      <c r="V14" s="500"/>
      <c r="W14" s="493"/>
      <c r="X14" s="499"/>
      <c r="Y14" s="493"/>
      <c r="Z14" s="493"/>
      <c r="AA14" s="493"/>
      <c r="AB14" s="499"/>
      <c r="AC14" s="500"/>
      <c r="AD14" s="493"/>
      <c r="AE14" s="501"/>
      <c r="AF14" s="502"/>
      <c r="AG14" s="493"/>
      <c r="AH14" s="500"/>
      <c r="AI14" s="493"/>
      <c r="AJ14" s="493"/>
      <c r="AK14" s="493"/>
      <c r="AL14" s="493"/>
      <c r="AM14" s="493"/>
      <c r="AN14" s="493"/>
      <c r="AO14" s="493"/>
      <c r="AP14" s="493"/>
      <c r="AQ14" s="501"/>
      <c r="AR14" s="514"/>
      <c r="AS14" s="493"/>
      <c r="AT14" s="493"/>
      <c r="AU14" s="493"/>
      <c r="AV14" s="493"/>
      <c r="AW14" s="493"/>
      <c r="AX14" s="493"/>
      <c r="AY14" s="493"/>
      <c r="AZ14" s="515"/>
      <c r="BA14" s="481"/>
      <c r="BB14" s="2" t="s">
        <v>349</v>
      </c>
      <c r="BC14" s="385"/>
      <c r="BD14" s="383"/>
      <c r="BE14" s="340"/>
      <c r="BF14" s="384"/>
      <c r="BG14" s="337"/>
      <c r="BH14" s="340"/>
      <c r="BI14" s="337"/>
      <c r="BJ14" s="337"/>
      <c r="BK14" s="337"/>
      <c r="BL14" s="337"/>
      <c r="BM14" s="337"/>
      <c r="BN14" s="337" t="s">
        <v>349</v>
      </c>
      <c r="BO14" s="385"/>
      <c r="BP14" s="383"/>
      <c r="BQ14" s="340"/>
      <c r="BR14" s="384"/>
      <c r="BS14" s="337"/>
      <c r="BT14" s="340"/>
      <c r="BU14" s="337"/>
      <c r="BV14" s="337"/>
      <c r="BW14" s="337"/>
      <c r="BX14" s="337"/>
      <c r="BY14" s="337"/>
      <c r="BZ14" s="337"/>
      <c r="CA14" s="385"/>
      <c r="CB14" s="383" t="s">
        <v>349</v>
      </c>
      <c r="CC14" s="340"/>
      <c r="CD14" s="384"/>
      <c r="CE14" s="337"/>
      <c r="CF14" s="340"/>
      <c r="CG14" s="337"/>
      <c r="CH14" s="337"/>
      <c r="CI14" s="337"/>
      <c r="CJ14" s="337"/>
      <c r="CK14" s="337"/>
      <c r="CL14" s="337"/>
      <c r="CM14" s="385"/>
      <c r="CN14" s="383"/>
      <c r="CO14" s="340"/>
      <c r="CP14" s="384" t="s">
        <v>349</v>
      </c>
      <c r="CQ14" s="337"/>
      <c r="CR14" s="340"/>
      <c r="CS14" s="337"/>
      <c r="CT14" s="337"/>
      <c r="CU14" s="337"/>
      <c r="CV14" s="337"/>
      <c r="CW14" s="337"/>
      <c r="CX14" s="337"/>
      <c r="CY14" s="385"/>
      <c r="CZ14" s="383"/>
      <c r="DA14" s="340"/>
      <c r="DB14" s="384"/>
      <c r="DC14" s="337"/>
      <c r="DD14" s="340" t="s">
        <v>349</v>
      </c>
      <c r="DE14" s="337"/>
      <c r="DF14" s="337"/>
      <c r="DG14" s="337"/>
      <c r="DH14" s="337"/>
      <c r="DI14" s="493"/>
      <c r="DJ14" s="493"/>
      <c r="DK14" s="501"/>
      <c r="DL14" s="88"/>
      <c r="DM14" s="89"/>
      <c r="DN14" s="422">
        <f t="shared" si="1"/>
        <v>0</v>
      </c>
      <c r="DO14" s="416">
        <f t="shared" si="1"/>
        <v>0</v>
      </c>
      <c r="DP14" s="116">
        <f t="shared" si="1"/>
        <v>0</v>
      </c>
      <c r="DQ14" s="116">
        <f t="shared" si="0"/>
        <v>0</v>
      </c>
      <c r="DR14" s="116">
        <f t="shared" si="0"/>
        <v>0</v>
      </c>
      <c r="DS14" s="117">
        <f t="shared" ca="1" si="2"/>
        <v>1518</v>
      </c>
      <c r="DT14" s="489"/>
      <c r="DU14" s="417"/>
      <c r="DV14" s="418"/>
      <c r="DW14" s="418"/>
      <c r="DX14" s="418"/>
      <c r="DY14" s="418"/>
      <c r="DZ14" s="418"/>
      <c r="EA14" s="418"/>
      <c r="EB14" s="490"/>
      <c r="EC14" s="419"/>
      <c r="ED14" s="122"/>
      <c r="EE14" s="123"/>
      <c r="EF14" s="124">
        <f t="shared" si="3"/>
        <v>0</v>
      </c>
      <c r="EG14" s="125">
        <f t="shared" si="4"/>
        <v>0</v>
      </c>
      <c r="EH14" s="126">
        <f t="shared" si="5"/>
        <v>0</v>
      </c>
      <c r="EI14" s="125">
        <f t="shared" si="6"/>
        <v>0</v>
      </c>
      <c r="EJ14" s="126">
        <f t="shared" si="7"/>
        <v>0</v>
      </c>
      <c r="EK14" s="127">
        <f t="shared" si="8"/>
        <v>0</v>
      </c>
      <c r="EL14" s="127">
        <f t="shared" si="9"/>
        <v>0</v>
      </c>
      <c r="EM14" s="127">
        <f t="shared" si="10"/>
        <v>0</v>
      </c>
      <c r="EN14" s="128"/>
      <c r="EO14" s="128"/>
      <c r="EP14" s="128"/>
      <c r="EQ14" s="128">
        <f t="shared" si="11"/>
        <v>0</v>
      </c>
      <c r="ER14" s="127">
        <f t="shared" si="12"/>
        <v>0</v>
      </c>
      <c r="ES14" s="128">
        <f t="shared" si="13"/>
        <v>0</v>
      </c>
      <c r="ET14" s="129">
        <f t="shared" si="14"/>
        <v>0</v>
      </c>
      <c r="EU14" s="130"/>
      <c r="EV14" s="118">
        <f t="shared" si="15"/>
        <v>0</v>
      </c>
      <c r="EW14" s="119">
        <f t="shared" si="16"/>
        <v>0</v>
      </c>
      <c r="EX14" s="119">
        <f>PY14</f>
        <v>0</v>
      </c>
      <c r="EY14" s="119">
        <f>QC14</f>
        <v>0</v>
      </c>
      <c r="EZ14" s="119">
        <f t="shared" si="38"/>
        <v>0</v>
      </c>
      <c r="FA14" s="120">
        <f t="shared" si="39"/>
        <v>0</v>
      </c>
      <c r="FB14" s="120">
        <f t="shared" si="43"/>
        <v>0</v>
      </c>
      <c r="FC14" s="120">
        <f t="shared" si="44"/>
        <v>0</v>
      </c>
      <c r="FD14" s="119">
        <f>UR14</f>
        <v>0</v>
      </c>
      <c r="FE14" s="119">
        <f>VB14</f>
        <v>0</v>
      </c>
      <c r="FF14" s="119">
        <f t="shared" si="40"/>
        <v>0</v>
      </c>
      <c r="FG14" s="119">
        <f>QQ14</f>
        <v>0</v>
      </c>
      <c r="FH14" s="120">
        <f>SB14</f>
        <v>0</v>
      </c>
      <c r="FI14" s="119">
        <f t="shared" si="17"/>
        <v>0</v>
      </c>
      <c r="FJ14" s="131">
        <f t="shared" si="18"/>
        <v>0</v>
      </c>
      <c r="FK14" s="111"/>
      <c r="FL14" s="132">
        <f t="shared" si="19"/>
        <v>0</v>
      </c>
      <c r="FM14" s="126">
        <f t="shared" si="20"/>
        <v>0</v>
      </c>
      <c r="FN14" s="128">
        <f t="shared" ref="FN14:FN16" si="45">HX14</f>
        <v>0</v>
      </c>
      <c r="FO14" s="128">
        <f>QE14</f>
        <v>0</v>
      </c>
      <c r="FP14" s="125">
        <f>QI14</f>
        <v>0</v>
      </c>
      <c r="FQ14" s="126">
        <f t="shared" ref="FQ14:FQ16" si="46">WH14</f>
        <v>0</v>
      </c>
      <c r="FR14" s="127">
        <f t="shared" ref="FR14:FR16" si="47">SE14</f>
        <v>0</v>
      </c>
      <c r="FS14" s="127">
        <f t="shared" ref="FS14:FS16" si="48">SH14</f>
        <v>0</v>
      </c>
      <c r="FT14" s="127">
        <f t="shared" ref="FT14:FT16" si="49">SJ14</f>
        <v>0</v>
      </c>
      <c r="FU14" s="128">
        <f>UV14</f>
        <v>0</v>
      </c>
      <c r="FV14" s="128">
        <f>VF14</f>
        <v>0</v>
      </c>
      <c r="FW14" s="128">
        <f t="shared" ref="FW14:FW16" si="50">VP14</f>
        <v>0</v>
      </c>
      <c r="FX14" s="128">
        <f t="shared" ref="FX14:FX16" si="51">QS14</f>
        <v>0</v>
      </c>
      <c r="FY14" s="127">
        <f t="shared" ref="FY14:FY16" si="52">SW14</f>
        <v>0</v>
      </c>
      <c r="FZ14" s="133">
        <f t="shared" ref="FZ14:FZ16" si="53">UB14</f>
        <v>0</v>
      </c>
      <c r="GA14" s="129">
        <f t="shared" ref="GA14:GA16" si="54">WV14</f>
        <v>0</v>
      </c>
      <c r="GB14" s="110"/>
      <c r="GC14" s="132">
        <f t="shared" si="21"/>
        <v>0</v>
      </c>
      <c r="GD14" s="126">
        <f t="shared" si="22"/>
        <v>0</v>
      </c>
      <c r="GE14" s="125">
        <f t="shared" si="23"/>
        <v>0</v>
      </c>
      <c r="GF14" s="126">
        <f t="shared" si="24"/>
        <v>0</v>
      </c>
      <c r="GG14" s="127">
        <f t="shared" si="25"/>
        <v>0</v>
      </c>
      <c r="GH14" s="127">
        <f t="shared" si="26"/>
        <v>0</v>
      </c>
      <c r="GI14" s="127">
        <f>TF14</f>
        <v>0</v>
      </c>
      <c r="GJ14" s="128">
        <f>UV14</f>
        <v>0</v>
      </c>
      <c r="GK14" s="128">
        <f t="shared" si="28"/>
        <v>0</v>
      </c>
      <c r="GL14" s="128">
        <f t="shared" si="29"/>
        <v>0</v>
      </c>
      <c r="GM14" s="128">
        <f t="shared" si="30"/>
        <v>0</v>
      </c>
      <c r="GN14" s="127">
        <f t="shared" si="31"/>
        <v>0</v>
      </c>
      <c r="GO14" s="133">
        <f t="shared" si="32"/>
        <v>0</v>
      </c>
      <c r="GP14" s="129">
        <f t="shared" si="33"/>
        <v>0</v>
      </c>
      <c r="GQ14" s="110"/>
      <c r="GR14" s="88"/>
      <c r="GS14" s="216"/>
      <c r="GT14" s="114">
        <f t="shared" si="34"/>
        <v>0</v>
      </c>
      <c r="GU14" s="114">
        <f t="shared" si="34"/>
        <v>0</v>
      </c>
      <c r="GV14" s="527"/>
      <c r="GW14" s="491"/>
      <c r="GX14" s="526"/>
      <c r="GY14" s="415"/>
      <c r="GZ14" s="491"/>
      <c r="HA14" s="415"/>
      <c r="HB14" s="415"/>
      <c r="HC14" s="491"/>
      <c r="HD14" s="415"/>
      <c r="HE14" s="134"/>
      <c r="HF14" s="135">
        <f t="shared" si="41"/>
        <v>0</v>
      </c>
      <c r="HG14" s="136"/>
      <c r="HH14" s="137"/>
      <c r="HI14" s="136"/>
      <c r="HJ14" s="137"/>
      <c r="HK14" s="135">
        <f t="shared" si="35"/>
        <v>0</v>
      </c>
      <c r="HL14" s="136"/>
      <c r="HM14" s="217"/>
      <c r="HN14" s="136"/>
      <c r="HO14" s="217"/>
      <c r="HP14" s="138">
        <f t="shared" si="36"/>
        <v>0</v>
      </c>
      <c r="HQ14" s="136"/>
      <c r="HR14" s="217"/>
      <c r="HS14" s="136"/>
      <c r="HT14" s="218"/>
      <c r="HU14" s="162"/>
      <c r="HV14" s="162"/>
      <c r="HW14" s="162"/>
      <c r="HX14" s="219"/>
      <c r="HY14" s="135">
        <f t="shared" si="42"/>
        <v>0</v>
      </c>
      <c r="HZ14" s="97"/>
      <c r="IA14" s="92"/>
      <c r="IB14" s="106"/>
      <c r="IC14" s="98"/>
      <c r="ID14" s="98"/>
      <c r="IE14" s="99"/>
      <c r="IF14" s="97"/>
      <c r="IG14" s="92"/>
      <c r="IH14" s="106"/>
      <c r="II14" s="98"/>
      <c r="IJ14" s="98"/>
      <c r="IK14" s="99"/>
      <c r="IL14" s="97"/>
      <c r="IM14" s="92"/>
      <c r="IN14" s="106"/>
      <c r="IO14" s="98"/>
      <c r="IP14" s="98"/>
      <c r="IQ14" s="99"/>
      <c r="IR14" s="97"/>
      <c r="IS14" s="92"/>
      <c r="IT14" s="106"/>
      <c r="IU14" s="98"/>
      <c r="IV14" s="98"/>
      <c r="IW14" s="99"/>
      <c r="IX14" s="97"/>
      <c r="IY14" s="92"/>
      <c r="IZ14" s="106"/>
      <c r="JA14" s="98"/>
      <c r="JB14" s="98"/>
      <c r="JC14" s="99"/>
      <c r="JD14" s="97"/>
      <c r="JE14" s="92"/>
      <c r="JF14" s="106"/>
      <c r="JG14" s="98"/>
      <c r="JH14" s="98"/>
      <c r="JI14" s="104"/>
      <c r="JJ14" s="102"/>
      <c r="JK14" s="92"/>
      <c r="JL14" s="106"/>
      <c r="JM14" s="98"/>
      <c r="JN14" s="98"/>
      <c r="JO14" s="99"/>
      <c r="JP14" s="97"/>
      <c r="JQ14" s="92"/>
      <c r="JR14" s="106"/>
      <c r="JS14" s="98"/>
      <c r="JT14" s="98"/>
      <c r="JU14" s="104"/>
      <c r="JV14" s="102"/>
      <c r="JW14" s="92"/>
      <c r="JX14" s="106"/>
      <c r="JY14" s="98"/>
      <c r="JZ14" s="98"/>
      <c r="KA14" s="99"/>
      <c r="KB14" s="97"/>
      <c r="KC14" s="92"/>
      <c r="KD14" s="106"/>
      <c r="KE14" s="98"/>
      <c r="KF14" s="98"/>
      <c r="KG14" s="104"/>
      <c r="KH14" s="102"/>
      <c r="KI14" s="92"/>
      <c r="KJ14" s="106"/>
      <c r="KK14" s="98"/>
      <c r="KL14" s="98"/>
      <c r="KM14" s="99"/>
      <c r="KN14" s="97"/>
      <c r="KO14" s="92"/>
      <c r="KP14" s="106"/>
      <c r="KQ14" s="98"/>
      <c r="KR14" s="98"/>
      <c r="KS14" s="104"/>
      <c r="KT14" s="102"/>
      <c r="KU14" s="92"/>
      <c r="KV14" s="106"/>
      <c r="KW14" s="98"/>
      <c r="KX14" s="98"/>
      <c r="KY14" s="99"/>
      <c r="KZ14" s="97"/>
      <c r="LA14" s="92"/>
      <c r="LB14" s="106"/>
      <c r="LC14" s="98"/>
      <c r="LD14" s="98"/>
      <c r="LE14" s="104"/>
      <c r="LF14" s="102"/>
      <c r="LG14" s="92"/>
      <c r="LH14" s="106"/>
      <c r="LI14" s="98"/>
      <c r="LJ14" s="98"/>
      <c r="LK14" s="99"/>
      <c r="LL14" s="97"/>
      <c r="LM14" s="92"/>
      <c r="LN14" s="106"/>
      <c r="LO14" s="98"/>
      <c r="LP14" s="98"/>
      <c r="LQ14" s="104"/>
      <c r="LR14" s="102"/>
      <c r="LS14" s="92"/>
      <c r="LT14" s="106"/>
      <c r="LU14" s="98"/>
      <c r="LV14" s="98"/>
      <c r="LW14" s="99"/>
      <c r="LX14" s="100"/>
      <c r="LY14" s="98"/>
      <c r="LZ14" s="100"/>
      <c r="MA14" s="98"/>
      <c r="MB14" s="100"/>
      <c r="MC14" s="99"/>
      <c r="MD14" s="100"/>
      <c r="ME14" s="98"/>
      <c r="MF14" s="100"/>
      <c r="MG14" s="98"/>
      <c r="MH14" s="100"/>
      <c r="MI14" s="99"/>
      <c r="MJ14" s="100"/>
      <c r="MK14" s="98"/>
      <c r="ML14" s="100"/>
      <c r="MM14" s="98"/>
      <c r="MN14" s="100"/>
      <c r="MO14" s="99"/>
      <c r="MP14" s="100"/>
      <c r="MQ14" s="98"/>
      <c r="MR14" s="100"/>
      <c r="MS14" s="98"/>
      <c r="MT14" s="100"/>
      <c r="MU14" s="99"/>
      <c r="MV14" s="100"/>
      <c r="MW14" s="98"/>
      <c r="MX14" s="100"/>
      <c r="MY14" s="98"/>
      <c r="MZ14" s="100"/>
      <c r="NA14" s="99"/>
      <c r="NB14" s="100"/>
      <c r="NC14" s="98"/>
      <c r="ND14" s="100"/>
      <c r="NE14" s="98"/>
      <c r="NF14" s="100"/>
      <c r="NG14" s="99"/>
      <c r="NH14" s="100"/>
      <c r="NI14" s="98"/>
      <c r="NJ14" s="100"/>
      <c r="NK14" s="98"/>
      <c r="NL14" s="100"/>
      <c r="NM14" s="99"/>
      <c r="NN14" s="100"/>
      <c r="NO14" s="98"/>
      <c r="NP14" s="100"/>
      <c r="NQ14" s="98"/>
      <c r="NR14" s="100"/>
      <c r="NS14" s="99"/>
      <c r="NT14" s="100"/>
      <c r="NU14" s="98"/>
      <c r="NV14" s="100"/>
      <c r="NW14" s="98"/>
      <c r="NX14" s="100"/>
      <c r="NY14" s="99"/>
      <c r="NZ14" s="100"/>
      <c r="OA14" s="98"/>
      <c r="OB14" s="100"/>
      <c r="OC14" s="98"/>
      <c r="OD14" s="100"/>
      <c r="OE14" s="99"/>
      <c r="OF14" s="100"/>
      <c r="OG14" s="98"/>
      <c r="OH14" s="100"/>
      <c r="OI14" s="98"/>
      <c r="OJ14" s="100"/>
      <c r="OK14" s="99"/>
      <c r="OL14" s="100"/>
      <c r="OM14" s="98"/>
      <c r="ON14" s="100"/>
      <c r="OO14" s="98"/>
      <c r="OP14" s="100"/>
      <c r="OQ14" s="99"/>
      <c r="OR14" s="100"/>
      <c r="OS14" s="98"/>
      <c r="OT14" s="100"/>
      <c r="OU14" s="98"/>
      <c r="OV14" s="100"/>
      <c r="OW14" s="99"/>
      <c r="OX14" s="100"/>
      <c r="OY14" s="98"/>
      <c r="OZ14" s="100"/>
      <c r="PA14" s="98"/>
      <c r="PB14" s="100"/>
      <c r="PC14" s="99"/>
      <c r="PD14" s="100"/>
      <c r="PE14" s="98"/>
      <c r="PF14" s="386"/>
      <c r="PG14" s="342"/>
      <c r="PH14" s="386"/>
      <c r="PI14" s="387"/>
      <c r="PJ14" s="386"/>
      <c r="PK14" s="342"/>
      <c r="PL14" s="386"/>
      <c r="PM14" s="342"/>
      <c r="PN14" s="386"/>
      <c r="PO14" s="387"/>
      <c r="PP14" s="386"/>
      <c r="PQ14" s="342"/>
      <c r="PR14" s="386"/>
      <c r="PS14" s="342"/>
      <c r="PT14" s="386"/>
      <c r="PU14" s="387"/>
      <c r="PV14" s="191"/>
      <c r="PW14" s="101"/>
      <c r="PX14" s="100"/>
      <c r="PY14" s="101"/>
      <c r="PZ14" s="143"/>
      <c r="QA14" s="146"/>
      <c r="QB14" s="168"/>
      <c r="QC14" s="147"/>
      <c r="QD14" s="143"/>
      <c r="QE14" s="147"/>
      <c r="QF14" s="143"/>
      <c r="QG14" s="149"/>
      <c r="QH14" s="168"/>
      <c r="QI14" s="150"/>
      <c r="QJ14" s="143"/>
      <c r="QK14" s="150"/>
      <c r="QL14" s="143"/>
      <c r="QM14" s="150"/>
      <c r="QN14" s="206"/>
      <c r="QO14" s="146"/>
      <c r="QP14" s="151"/>
      <c r="QQ14" s="149"/>
      <c r="QR14" s="151"/>
      <c r="QS14" s="154"/>
      <c r="QT14" s="155"/>
      <c r="QU14" s="156"/>
      <c r="QV14" s="157"/>
      <c r="QW14" s="158"/>
      <c r="QX14" s="199"/>
      <c r="QY14" s="160"/>
      <c r="QZ14" s="199"/>
      <c r="RA14" s="160"/>
      <c r="RB14" s="199"/>
      <c r="RC14" s="160"/>
      <c r="RD14" s="199"/>
      <c r="RE14" s="185"/>
      <c r="RF14" s="185"/>
      <c r="RG14" s="95"/>
      <c r="RH14" s="95"/>
      <c r="RI14" s="156"/>
      <c r="RJ14" s="157"/>
      <c r="RK14" s="160"/>
      <c r="RL14" s="199"/>
      <c r="RM14" s="163"/>
      <c r="RN14" s="199"/>
      <c r="RO14" s="163"/>
      <c r="RP14" s="199"/>
      <c r="RQ14" s="163"/>
      <c r="RR14" s="199"/>
      <c r="RS14" s="185"/>
      <c r="RT14" s="185"/>
      <c r="RU14" s="198"/>
      <c r="RV14" s="198"/>
      <c r="RW14" s="95"/>
      <c r="RX14" s="95"/>
      <c r="RY14" s="95"/>
      <c r="RZ14" s="156"/>
      <c r="SA14" s="157"/>
      <c r="SB14" s="163"/>
      <c r="SC14" s="200"/>
      <c r="SD14" s="198"/>
      <c r="SE14" s="165"/>
      <c r="SF14" s="199"/>
      <c r="SG14" s="198"/>
      <c r="SH14" s="165"/>
      <c r="SI14" s="199"/>
      <c r="SJ14" s="165"/>
      <c r="SK14" s="199"/>
      <c r="SL14" s="185"/>
      <c r="SM14" s="185"/>
      <c r="SN14" s="198"/>
      <c r="SO14" s="198"/>
      <c r="SP14" s="95"/>
      <c r="SQ14" s="95"/>
      <c r="SR14" s="95"/>
      <c r="SS14" s="95"/>
      <c r="ST14" s="95"/>
      <c r="SU14" s="156"/>
      <c r="SV14" s="157"/>
      <c r="SW14" s="165"/>
      <c r="SX14" s="200"/>
      <c r="SY14" s="198"/>
      <c r="SZ14" s="166"/>
      <c r="TA14" s="200"/>
      <c r="TB14" s="201"/>
      <c r="TC14" s="198"/>
      <c r="TD14" s="166"/>
      <c r="TE14" s="199"/>
      <c r="TF14" s="166"/>
      <c r="TG14" s="199"/>
      <c r="TH14" s="185"/>
      <c r="TI14" s="185"/>
      <c r="TJ14" s="198"/>
      <c r="TK14" s="198"/>
      <c r="TL14" s="95"/>
      <c r="TM14" s="95"/>
      <c r="TN14" s="95"/>
      <c r="TO14" s="95"/>
      <c r="TP14" s="95"/>
      <c r="TQ14" s="95"/>
      <c r="TR14" s="95"/>
      <c r="TS14" s="95"/>
      <c r="TT14" s="156"/>
      <c r="TU14" s="157"/>
      <c r="TV14" s="166"/>
      <c r="TW14" s="206"/>
      <c r="TX14" s="146"/>
      <c r="TY14" s="220"/>
      <c r="TZ14" s="149"/>
      <c r="UA14" s="220"/>
      <c r="UB14" s="154"/>
      <c r="UC14" s="214"/>
      <c r="UD14" s="169"/>
      <c r="UE14" s="148"/>
      <c r="UF14" s="169"/>
      <c r="UG14" s="148"/>
      <c r="UH14" s="169"/>
      <c r="UI14" s="143"/>
      <c r="UJ14" s="169"/>
      <c r="UK14" s="148"/>
      <c r="UL14" s="170"/>
      <c r="UM14" s="148"/>
      <c r="UN14" s="171"/>
      <c r="UO14" s="148"/>
      <c r="UP14" s="171"/>
      <c r="UQ14" s="148"/>
      <c r="UR14" s="171"/>
      <c r="US14" s="148"/>
      <c r="UT14" s="171"/>
      <c r="UU14" s="148"/>
      <c r="UV14" s="172"/>
      <c r="UW14" s="148"/>
      <c r="UX14" s="173"/>
      <c r="UY14" s="148"/>
      <c r="UZ14" s="173"/>
      <c r="VA14" s="177"/>
      <c r="VB14" s="173"/>
      <c r="VC14" s="177"/>
      <c r="VD14" s="173"/>
      <c r="VE14" s="148"/>
      <c r="VF14" s="174"/>
      <c r="VG14" s="148" t="s">
        <v>381</v>
      </c>
      <c r="VH14" s="175">
        <v>1</v>
      </c>
      <c r="VI14" s="148"/>
      <c r="VJ14" s="175"/>
      <c r="VK14" s="148"/>
      <c r="VL14" s="175"/>
      <c r="VM14" s="148"/>
      <c r="VN14" s="175"/>
      <c r="VO14" s="148"/>
      <c r="VP14" s="176"/>
      <c r="VQ14" s="102"/>
      <c r="VR14" s="100"/>
      <c r="VS14" s="103"/>
      <c r="VT14" s="98"/>
      <c r="VU14" s="104"/>
      <c r="VV14" s="105"/>
      <c r="VW14" s="98"/>
      <c r="VX14" s="100"/>
      <c r="VY14" s="105"/>
      <c r="VZ14" s="98"/>
      <c r="WA14" s="104"/>
      <c r="WB14" s="105"/>
      <c r="WC14" s="98"/>
      <c r="WD14" s="104"/>
      <c r="WE14" s="105"/>
      <c r="WF14" s="98"/>
      <c r="WG14" s="104"/>
      <c r="WH14" s="105"/>
      <c r="WI14" s="98"/>
      <c r="WJ14" s="104"/>
      <c r="WK14" s="105"/>
      <c r="WL14" s="98"/>
      <c r="WM14" s="100"/>
      <c r="WN14" s="103"/>
      <c r="WO14" s="178"/>
      <c r="WP14" s="107"/>
      <c r="WQ14" s="206"/>
      <c r="WR14" s="146"/>
      <c r="WS14" s="220"/>
      <c r="WT14" s="149"/>
      <c r="WU14" s="220"/>
      <c r="WV14" s="154"/>
      <c r="WW14" s="179"/>
      <c r="WX14" s="221"/>
      <c r="WY14" s="162"/>
      <c r="WZ14" s="162"/>
      <c r="XA14" s="162"/>
      <c r="XB14" s="221"/>
      <c r="XC14" s="115">
        <f t="shared" si="37"/>
        <v>0</v>
      </c>
      <c r="XD14" s="88"/>
      <c r="XE14" s="109"/>
    </row>
    <row r="15" spans="1:629" s="2" customFormat="1" ht="18" x14ac:dyDescent="0.3">
      <c r="A15" s="112"/>
      <c r="B15" s="466"/>
      <c r="C15" s="194"/>
      <c r="D15" s="196"/>
      <c r="E15" s="194"/>
      <c r="F15" s="194"/>
      <c r="G15" s="113"/>
      <c r="H15" s="340"/>
      <c r="I15" s="340"/>
      <c r="J15" s="340"/>
      <c r="K15" s="340"/>
      <c r="L15" s="340"/>
      <c r="M15" s="340"/>
      <c r="N15" s="340"/>
      <c r="O15" s="340"/>
      <c r="P15" s="340"/>
      <c r="Q15" s="340"/>
      <c r="R15" s="340"/>
      <c r="S15" s="384"/>
      <c r="T15" s="502"/>
      <c r="U15" s="499"/>
      <c r="V15" s="499"/>
      <c r="W15" s="499"/>
      <c r="X15" s="499"/>
      <c r="Y15" s="499"/>
      <c r="Z15" s="499"/>
      <c r="AA15" s="499"/>
      <c r="AB15" s="499"/>
      <c r="AC15" s="499"/>
      <c r="AD15" s="499"/>
      <c r="AE15" s="501"/>
      <c r="AF15" s="499"/>
      <c r="AG15" s="499"/>
      <c r="AH15" s="499"/>
      <c r="AI15" s="499"/>
      <c r="AJ15" s="499"/>
      <c r="AK15" s="499"/>
      <c r="AL15" s="499"/>
      <c r="AM15" s="499"/>
      <c r="AN15" s="499"/>
      <c r="AO15" s="499"/>
      <c r="AP15" s="499"/>
      <c r="AQ15" s="501"/>
      <c r="AR15" s="499"/>
      <c r="AS15" s="499"/>
      <c r="AT15" s="499"/>
      <c r="AU15" s="499"/>
      <c r="AV15" s="499"/>
      <c r="AW15" s="499"/>
      <c r="AX15" s="499"/>
      <c r="AY15" s="516"/>
      <c r="AZ15" s="499"/>
      <c r="BA15" s="503"/>
      <c r="BB15" s="188"/>
      <c r="BC15" s="197" t="s">
        <v>349</v>
      </c>
      <c r="BD15" s="188"/>
      <c r="BE15" s="188"/>
      <c r="BF15" s="188" t="s">
        <v>349</v>
      </c>
      <c r="BG15" s="188"/>
      <c r="BH15" s="188"/>
      <c r="BI15" s="188"/>
      <c r="BJ15" s="188"/>
      <c r="BK15" s="188"/>
      <c r="BL15" s="188"/>
      <c r="BM15" s="188"/>
      <c r="BN15" s="188"/>
      <c r="BO15" s="188"/>
      <c r="BP15" s="188"/>
      <c r="BQ15" s="188"/>
      <c r="BR15" s="188"/>
      <c r="BS15" s="188"/>
      <c r="BT15" s="188" t="s">
        <v>349</v>
      </c>
      <c r="BU15" s="188"/>
      <c r="BV15" s="188"/>
      <c r="BW15" s="188"/>
      <c r="BX15" s="188"/>
      <c r="BY15" s="188"/>
      <c r="BZ15" s="188"/>
      <c r="CA15" s="188"/>
      <c r="CB15" s="188"/>
      <c r="CC15" s="188"/>
      <c r="CD15" s="188"/>
      <c r="CE15" s="188"/>
      <c r="CF15" s="188"/>
      <c r="CG15" s="188"/>
      <c r="CH15" s="188" t="s">
        <v>349</v>
      </c>
      <c r="CI15" s="188"/>
      <c r="CJ15" s="188"/>
      <c r="CK15" s="188"/>
      <c r="CL15" s="188"/>
      <c r="CM15" s="188"/>
      <c r="CN15" s="188"/>
      <c r="CO15" s="188"/>
      <c r="CP15" s="188"/>
      <c r="CQ15" s="188"/>
      <c r="CR15" s="188"/>
      <c r="CS15" s="188"/>
      <c r="CT15" s="188"/>
      <c r="CU15" s="188"/>
      <c r="CV15" s="188" t="s">
        <v>349</v>
      </c>
      <c r="CW15" s="188"/>
      <c r="CX15" s="188"/>
      <c r="CY15" s="188"/>
      <c r="CZ15" s="188"/>
      <c r="DA15" s="499"/>
      <c r="DB15" s="499"/>
      <c r="DC15" s="499"/>
      <c r="DD15" s="499"/>
      <c r="DE15" s="499"/>
      <c r="DF15" s="499"/>
      <c r="DG15" s="499"/>
      <c r="DH15" s="499"/>
      <c r="DI15" s="499"/>
      <c r="DJ15" s="499"/>
      <c r="DK15" s="499"/>
      <c r="DL15" s="88"/>
      <c r="DM15" s="89"/>
      <c r="DN15" s="421">
        <f t="shared" si="1"/>
        <v>0</v>
      </c>
      <c r="DO15" s="416">
        <f t="shared" si="1"/>
        <v>0</v>
      </c>
      <c r="DP15" s="116">
        <f t="shared" si="1"/>
        <v>0</v>
      </c>
      <c r="DQ15" s="116">
        <f t="shared" si="0"/>
        <v>0</v>
      </c>
      <c r="DR15" s="116">
        <f t="shared" si="0"/>
        <v>0</v>
      </c>
      <c r="DS15" s="117">
        <f t="shared" ca="1" si="2"/>
        <v>1518</v>
      </c>
      <c r="DT15" s="489"/>
      <c r="DU15" s="417"/>
      <c r="DV15" s="418"/>
      <c r="DW15" s="418"/>
      <c r="DX15" s="418"/>
      <c r="DY15" s="418"/>
      <c r="DZ15" s="418"/>
      <c r="EA15" s="418"/>
      <c r="EB15" s="517">
        <f>QW15</f>
        <v>0</v>
      </c>
      <c r="EC15" s="388"/>
      <c r="ED15" s="122"/>
      <c r="EE15" s="123"/>
      <c r="EF15" s="124">
        <f t="shared" si="3"/>
        <v>0</v>
      </c>
      <c r="EG15" s="125">
        <f t="shared" si="4"/>
        <v>0</v>
      </c>
      <c r="EH15" s="126">
        <f t="shared" si="5"/>
        <v>0</v>
      </c>
      <c r="EI15" s="125">
        <f t="shared" si="6"/>
        <v>0</v>
      </c>
      <c r="EJ15" s="126">
        <f t="shared" si="7"/>
        <v>0</v>
      </c>
      <c r="EK15" s="127">
        <f t="shared" si="8"/>
        <v>0</v>
      </c>
      <c r="EL15" s="127">
        <f t="shared" si="9"/>
        <v>0</v>
      </c>
      <c r="EM15" s="127">
        <f t="shared" si="10"/>
        <v>0</v>
      </c>
      <c r="EN15" s="128"/>
      <c r="EO15" s="128"/>
      <c r="EP15" s="128"/>
      <c r="EQ15" s="128">
        <f t="shared" si="11"/>
        <v>0</v>
      </c>
      <c r="ER15" s="127">
        <f t="shared" si="12"/>
        <v>0</v>
      </c>
      <c r="ES15" s="128">
        <f t="shared" si="13"/>
        <v>0</v>
      </c>
      <c r="ET15" s="129">
        <f t="shared" si="14"/>
        <v>0</v>
      </c>
      <c r="EU15" s="130"/>
      <c r="EV15" s="118">
        <f t="shared" si="15"/>
        <v>0</v>
      </c>
      <c r="EW15" s="119">
        <f t="shared" si="16"/>
        <v>0</v>
      </c>
      <c r="EX15" s="119">
        <f>PY15</f>
        <v>0</v>
      </c>
      <c r="EY15" s="119">
        <f>QC15</f>
        <v>0</v>
      </c>
      <c r="EZ15" s="119">
        <f t="shared" si="38"/>
        <v>0</v>
      </c>
      <c r="FA15" s="120">
        <f t="shared" si="39"/>
        <v>0</v>
      </c>
      <c r="FB15" s="120">
        <f t="shared" si="43"/>
        <v>0</v>
      </c>
      <c r="FC15" s="120">
        <f t="shared" si="44"/>
        <v>0</v>
      </c>
      <c r="FD15" s="119">
        <f>UR15</f>
        <v>0</v>
      </c>
      <c r="FE15" s="119">
        <f>VB15</f>
        <v>0</v>
      </c>
      <c r="FF15" s="119">
        <f t="shared" si="40"/>
        <v>0</v>
      </c>
      <c r="FG15" s="119">
        <f>QQ15</f>
        <v>0</v>
      </c>
      <c r="FH15" s="120">
        <f>SB15</f>
        <v>0</v>
      </c>
      <c r="FI15" s="119">
        <f t="shared" si="17"/>
        <v>0</v>
      </c>
      <c r="FJ15" s="131">
        <f t="shared" si="18"/>
        <v>0</v>
      </c>
      <c r="FK15" s="111"/>
      <c r="FL15" s="132">
        <f t="shared" si="19"/>
        <v>0</v>
      </c>
      <c r="FM15" s="126">
        <f t="shared" si="20"/>
        <v>0</v>
      </c>
      <c r="FN15" s="128">
        <f t="shared" si="45"/>
        <v>0</v>
      </c>
      <c r="FO15" s="128">
        <f>QE15</f>
        <v>0</v>
      </c>
      <c r="FP15" s="125">
        <f>QI15</f>
        <v>0</v>
      </c>
      <c r="FQ15" s="126">
        <f t="shared" si="46"/>
        <v>0</v>
      </c>
      <c r="FR15" s="127">
        <f t="shared" si="47"/>
        <v>0</v>
      </c>
      <c r="FS15" s="127">
        <f t="shared" si="48"/>
        <v>0</v>
      </c>
      <c r="FT15" s="127">
        <f t="shared" si="49"/>
        <v>0</v>
      </c>
      <c r="FU15" s="128">
        <f>UV15</f>
        <v>0</v>
      </c>
      <c r="FV15" s="128">
        <f>VF15</f>
        <v>0</v>
      </c>
      <c r="FW15" s="128">
        <f t="shared" si="50"/>
        <v>0</v>
      </c>
      <c r="FX15" s="128">
        <f t="shared" si="51"/>
        <v>0</v>
      </c>
      <c r="FY15" s="127">
        <f t="shared" si="52"/>
        <v>0</v>
      </c>
      <c r="FZ15" s="133">
        <f t="shared" si="53"/>
        <v>0</v>
      </c>
      <c r="GA15" s="129">
        <f t="shared" si="54"/>
        <v>0</v>
      </c>
      <c r="GB15" s="110"/>
      <c r="GC15" s="132">
        <f t="shared" si="21"/>
        <v>0</v>
      </c>
      <c r="GD15" s="126">
        <f t="shared" si="22"/>
        <v>0</v>
      </c>
      <c r="GE15" s="125">
        <f t="shared" si="23"/>
        <v>0</v>
      </c>
      <c r="GF15" s="126">
        <f t="shared" si="24"/>
        <v>0</v>
      </c>
      <c r="GG15" s="127">
        <f t="shared" si="25"/>
        <v>0</v>
      </c>
      <c r="GH15" s="127">
        <f t="shared" si="26"/>
        <v>0</v>
      </c>
      <c r="GI15" s="127">
        <f>TF15</f>
        <v>0</v>
      </c>
      <c r="GJ15" s="128">
        <f t="shared" si="27"/>
        <v>0</v>
      </c>
      <c r="GK15" s="128">
        <f t="shared" si="28"/>
        <v>0</v>
      </c>
      <c r="GL15" s="128">
        <f t="shared" si="29"/>
        <v>0</v>
      </c>
      <c r="GM15" s="128">
        <f t="shared" si="30"/>
        <v>0</v>
      </c>
      <c r="GN15" s="127">
        <f t="shared" si="31"/>
        <v>0</v>
      </c>
      <c r="GO15" s="133">
        <f t="shared" si="32"/>
        <v>0</v>
      </c>
      <c r="GP15" s="129">
        <f t="shared" si="33"/>
        <v>0</v>
      </c>
      <c r="GQ15" s="110"/>
      <c r="GR15" s="88"/>
      <c r="GS15" s="211"/>
      <c r="GT15" s="114">
        <f t="shared" si="34"/>
        <v>0</v>
      </c>
      <c r="GU15" s="114">
        <f t="shared" si="34"/>
        <v>0</v>
      </c>
      <c r="GV15" s="504"/>
      <c r="GW15" s="491"/>
      <c r="GX15" s="526"/>
      <c r="GY15" s="415"/>
      <c r="GZ15" s="491"/>
      <c r="HA15" s="491"/>
      <c r="HB15" s="491"/>
      <c r="HC15" s="491"/>
      <c r="HD15" s="528"/>
      <c r="HE15" s="134"/>
      <c r="HF15" s="135">
        <f t="shared" si="41"/>
        <v>0</v>
      </c>
      <c r="HG15" s="178"/>
      <c r="HH15" s="137"/>
      <c r="HI15" s="136"/>
      <c r="HJ15" s="137"/>
      <c r="HK15" s="135">
        <f t="shared" si="35"/>
        <v>0</v>
      </c>
      <c r="HL15" s="136"/>
      <c r="HM15" s="93"/>
      <c r="HN15" s="136"/>
      <c r="HO15" s="93"/>
      <c r="HP15" s="138">
        <f t="shared" si="36"/>
        <v>0</v>
      </c>
      <c r="HQ15" s="136"/>
      <c r="HR15" s="93"/>
      <c r="HS15" s="136"/>
      <c r="HT15" s="94"/>
      <c r="HU15" s="162"/>
      <c r="HV15" s="162"/>
      <c r="HW15" s="162"/>
      <c r="HX15" s="96"/>
      <c r="HY15" s="135">
        <f t="shared" si="42"/>
        <v>0</v>
      </c>
      <c r="HZ15" s="340"/>
      <c r="IA15" s="142"/>
      <c r="IB15" s="141"/>
      <c r="IC15" s="142"/>
      <c r="ID15" s="142"/>
      <c r="IE15" s="121"/>
      <c r="IF15" s="340"/>
      <c r="IG15" s="337"/>
      <c r="IH15" s="340"/>
      <c r="II15" s="337"/>
      <c r="IJ15" s="337"/>
      <c r="IK15" s="388"/>
      <c r="IL15" s="340"/>
      <c r="IM15" s="337"/>
      <c r="IN15" s="340"/>
      <c r="IO15" s="337"/>
      <c r="IP15" s="337"/>
      <c r="IQ15" s="388"/>
      <c r="IR15" s="340"/>
      <c r="IS15" s="337"/>
      <c r="IT15" s="340"/>
      <c r="IU15" s="337"/>
      <c r="IV15" s="337"/>
      <c r="IW15" s="388"/>
      <c r="IX15" s="340"/>
      <c r="IY15" s="337"/>
      <c r="IZ15" s="340"/>
      <c r="JA15" s="337"/>
      <c r="JB15" s="337"/>
      <c r="JC15" s="388"/>
      <c r="JD15" s="340"/>
      <c r="JE15" s="337"/>
      <c r="JF15" s="141"/>
      <c r="JG15" s="142"/>
      <c r="JH15" s="142"/>
      <c r="JI15" s="177"/>
      <c r="JJ15" s="383"/>
      <c r="JK15" s="337"/>
      <c r="JL15" s="340"/>
      <c r="JM15" s="337"/>
      <c r="JN15" s="337"/>
      <c r="JO15" s="388"/>
      <c r="JP15" s="340"/>
      <c r="JQ15" s="337"/>
      <c r="JR15" s="340"/>
      <c r="JS15" s="337"/>
      <c r="JT15" s="337"/>
      <c r="JU15" s="390"/>
      <c r="JV15" s="383"/>
      <c r="JW15" s="337"/>
      <c r="JX15" s="340"/>
      <c r="JY15" s="337"/>
      <c r="JZ15" s="337"/>
      <c r="KA15" s="388"/>
      <c r="KB15" s="340"/>
      <c r="KC15" s="337"/>
      <c r="KD15" s="340"/>
      <c r="KE15" s="337"/>
      <c r="KF15" s="142"/>
      <c r="KG15" s="177"/>
      <c r="KH15" s="144"/>
      <c r="KI15" s="142"/>
      <c r="KJ15" s="141"/>
      <c r="KK15" s="142"/>
      <c r="KL15" s="142"/>
      <c r="KM15" s="121"/>
      <c r="KN15" s="141"/>
      <c r="KO15" s="142"/>
      <c r="KP15" s="141"/>
      <c r="KQ15" s="142"/>
      <c r="KR15" s="142"/>
      <c r="KS15" s="177"/>
      <c r="KT15" s="144"/>
      <c r="KU15" s="142"/>
      <c r="KV15" s="141"/>
      <c r="KW15" s="142"/>
      <c r="KX15" s="142"/>
      <c r="KY15" s="121"/>
      <c r="KZ15" s="141"/>
      <c r="LA15" s="142"/>
      <c r="LB15" s="141"/>
      <c r="LC15" s="142"/>
      <c r="LD15" s="142"/>
      <c r="LE15" s="177"/>
      <c r="LF15" s="144"/>
      <c r="LG15" s="142"/>
      <c r="LH15" s="141"/>
      <c r="LI15" s="142"/>
      <c r="LJ15" s="142"/>
      <c r="LK15" s="121"/>
      <c r="LL15" s="141"/>
      <c r="LM15" s="142"/>
      <c r="LN15" s="141"/>
      <c r="LO15" s="142"/>
      <c r="LP15" s="142"/>
      <c r="LQ15" s="177"/>
      <c r="LR15" s="144"/>
      <c r="LS15" s="142"/>
      <c r="LT15" s="141"/>
      <c r="LU15" s="142"/>
      <c r="LV15" s="142"/>
      <c r="LW15" s="121"/>
      <c r="LX15" s="141"/>
      <c r="LY15" s="142"/>
      <c r="LZ15" s="142"/>
      <c r="MA15" s="142"/>
      <c r="MB15" s="142"/>
      <c r="MC15" s="121"/>
      <c r="MD15" s="141"/>
      <c r="ME15" s="142"/>
      <c r="MF15" s="142"/>
      <c r="MG15" s="142"/>
      <c r="MH15" s="142"/>
      <c r="MI15" s="121"/>
      <c r="MJ15" s="141"/>
      <c r="MK15" s="142"/>
      <c r="ML15" s="142"/>
      <c r="MM15" s="142"/>
      <c r="MN15" s="142"/>
      <c r="MO15" s="121"/>
      <c r="MP15" s="141"/>
      <c r="MQ15" s="142"/>
      <c r="MR15" s="142"/>
      <c r="MS15" s="142"/>
      <c r="MT15" s="142"/>
      <c r="MU15" s="121"/>
      <c r="MV15" s="141"/>
      <c r="MW15" s="142"/>
      <c r="MX15" s="142"/>
      <c r="MY15" s="142"/>
      <c r="MZ15" s="142"/>
      <c r="NA15" s="121"/>
      <c r="NB15" s="141"/>
      <c r="NC15" s="142"/>
      <c r="ND15" s="142"/>
      <c r="NE15" s="142"/>
      <c r="NF15" s="142"/>
      <c r="NG15" s="121"/>
      <c r="NH15" s="141"/>
      <c r="NI15" s="142"/>
      <c r="NJ15" s="142"/>
      <c r="NK15" s="142"/>
      <c r="NL15" s="142"/>
      <c r="NM15" s="121"/>
      <c r="NN15" s="141"/>
      <c r="NO15" s="142"/>
      <c r="NP15" s="142"/>
      <c r="NQ15" s="142"/>
      <c r="NR15" s="142"/>
      <c r="NS15" s="121"/>
      <c r="NT15" s="141"/>
      <c r="NU15" s="142"/>
      <c r="NV15" s="142"/>
      <c r="NW15" s="142"/>
      <c r="NX15" s="142"/>
      <c r="NY15" s="121"/>
      <c r="NZ15" s="141"/>
      <c r="OA15" s="142"/>
      <c r="OB15" s="142"/>
      <c r="OC15" s="142"/>
      <c r="OD15" s="142"/>
      <c r="OE15" s="121"/>
      <c r="OF15" s="141"/>
      <c r="OG15" s="142"/>
      <c r="OH15" s="142"/>
      <c r="OI15" s="142"/>
      <c r="OJ15" s="142"/>
      <c r="OK15" s="121"/>
      <c r="OL15" s="141"/>
      <c r="OM15" s="142"/>
      <c r="ON15" s="142"/>
      <c r="OO15" s="142"/>
      <c r="OP15" s="142"/>
      <c r="OQ15" s="121"/>
      <c r="OR15" s="141"/>
      <c r="OS15" s="142"/>
      <c r="OT15" s="142"/>
      <c r="OU15" s="142"/>
      <c r="OV15" s="142"/>
      <c r="OW15" s="121"/>
      <c r="OX15" s="141"/>
      <c r="OY15" s="142"/>
      <c r="OZ15" s="142"/>
      <c r="PA15" s="142"/>
      <c r="PB15" s="142"/>
      <c r="PC15" s="121"/>
      <c r="PD15" s="141"/>
      <c r="PE15" s="142"/>
      <c r="PF15" s="142"/>
      <c r="PG15" s="142"/>
      <c r="PH15" s="142"/>
      <c r="PI15" s="121"/>
      <c r="PJ15" s="141"/>
      <c r="PK15" s="142"/>
      <c r="PL15" s="142"/>
      <c r="PM15" s="142"/>
      <c r="PN15" s="142"/>
      <c r="PO15" s="121"/>
      <c r="PP15" s="141"/>
      <c r="PQ15" s="142"/>
      <c r="PR15" s="142"/>
      <c r="PS15" s="142"/>
      <c r="PT15" s="142"/>
      <c r="PU15" s="121"/>
      <c r="PV15" s="168"/>
      <c r="PW15" s="101"/>
      <c r="PX15" s="143"/>
      <c r="PY15" s="101"/>
      <c r="PZ15" s="143"/>
      <c r="QA15" s="146"/>
      <c r="QB15" s="168"/>
      <c r="QC15" s="147"/>
      <c r="QD15" s="143"/>
      <c r="QE15" s="147"/>
      <c r="QF15" s="143"/>
      <c r="QG15" s="149"/>
      <c r="QH15" s="168"/>
      <c r="QI15" s="150"/>
      <c r="QJ15" s="143"/>
      <c r="QK15" s="150"/>
      <c r="QL15" s="143"/>
      <c r="QM15" s="150"/>
      <c r="QN15" s="183">
        <v>43639</v>
      </c>
      <c r="QO15" s="146"/>
      <c r="QP15" s="184"/>
      <c r="QQ15" s="149"/>
      <c r="QR15" s="184"/>
      <c r="QS15" s="154"/>
      <c r="QT15" s="155"/>
      <c r="QU15" s="156"/>
      <c r="QV15" s="198"/>
      <c r="QW15" s="158"/>
      <c r="QX15" s="159"/>
      <c r="QY15" s="160"/>
      <c r="QZ15" s="159"/>
      <c r="RA15" s="160"/>
      <c r="RB15" s="159"/>
      <c r="RC15" s="160"/>
      <c r="RD15" s="155"/>
      <c r="RE15" s="222"/>
      <c r="RF15" s="222"/>
      <c r="RG15" s="223"/>
      <c r="RH15" s="95"/>
      <c r="RI15" s="95"/>
      <c r="RJ15" s="198"/>
      <c r="RK15" s="160"/>
      <c r="RL15" s="159"/>
      <c r="RM15" s="163"/>
      <c r="RN15" s="159"/>
      <c r="RO15" s="163"/>
      <c r="RP15" s="159"/>
      <c r="RQ15" s="163"/>
      <c r="RR15" s="155"/>
      <c r="RS15" s="222"/>
      <c r="RT15" s="222"/>
      <c r="RU15" s="223"/>
      <c r="RV15" s="223"/>
      <c r="RW15" s="223"/>
      <c r="RX15" s="223"/>
      <c r="RY15" s="95"/>
      <c r="RZ15" s="95"/>
      <c r="SA15" s="198"/>
      <c r="SB15" s="163"/>
      <c r="SC15" s="155"/>
      <c r="SD15" s="198"/>
      <c r="SE15" s="165"/>
      <c r="SF15" s="159"/>
      <c r="SG15" s="198"/>
      <c r="SH15" s="165"/>
      <c r="SI15" s="159"/>
      <c r="SJ15" s="165"/>
      <c r="SK15" s="155"/>
      <c r="SL15" s="222"/>
      <c r="SM15" s="222"/>
      <c r="SN15" s="223"/>
      <c r="SO15" s="223"/>
      <c r="SP15" s="223"/>
      <c r="SQ15" s="223"/>
      <c r="SR15" s="223"/>
      <c r="SS15" s="223"/>
      <c r="ST15" s="95"/>
      <c r="SU15" s="95"/>
      <c r="SV15" s="198"/>
      <c r="SW15" s="165"/>
      <c r="SX15" s="155"/>
      <c r="SY15" s="198"/>
      <c r="SZ15" s="166"/>
      <c r="TA15" s="155"/>
      <c r="TB15" s="201"/>
      <c r="TC15" s="198"/>
      <c r="TD15" s="166"/>
      <c r="TE15" s="159"/>
      <c r="TF15" s="166"/>
      <c r="TG15" s="155"/>
      <c r="TH15" s="222"/>
      <c r="TI15" s="222"/>
      <c r="TJ15" s="223"/>
      <c r="TK15" s="223"/>
      <c r="TL15" s="223"/>
      <c r="TM15" s="223"/>
      <c r="TN15" s="223"/>
      <c r="TO15" s="223"/>
      <c r="TP15" s="223"/>
      <c r="TQ15" s="223"/>
      <c r="TR15" s="223"/>
      <c r="TS15" s="95"/>
      <c r="TT15" s="95"/>
      <c r="TU15" s="198"/>
      <c r="TV15" s="166"/>
      <c r="TW15" s="183"/>
      <c r="TX15" s="146"/>
      <c r="TY15" s="184"/>
      <c r="TZ15" s="149"/>
      <c r="UA15" s="184"/>
      <c r="UB15" s="154"/>
      <c r="UC15" s="168"/>
      <c r="UD15" s="169"/>
      <c r="UE15" s="143"/>
      <c r="UF15" s="169"/>
      <c r="UG15" s="143"/>
      <c r="UH15" s="169"/>
      <c r="UI15" s="143"/>
      <c r="UJ15" s="169"/>
      <c r="UK15" s="148"/>
      <c r="UL15" s="170"/>
      <c r="UM15" s="148" t="s">
        <v>379</v>
      </c>
      <c r="UN15" s="171">
        <v>1</v>
      </c>
      <c r="UO15" s="143"/>
      <c r="UP15" s="171"/>
      <c r="UQ15" s="143"/>
      <c r="UR15" s="171"/>
      <c r="US15" s="143"/>
      <c r="UT15" s="171"/>
      <c r="UU15" s="143"/>
      <c r="UV15" s="172"/>
      <c r="UW15" s="143"/>
      <c r="UX15" s="173"/>
      <c r="UY15" s="143"/>
      <c r="UZ15" s="173"/>
      <c r="VA15" s="143"/>
      <c r="VB15" s="173"/>
      <c r="VC15" s="143"/>
      <c r="VD15" s="173"/>
      <c r="VE15" s="143"/>
      <c r="VF15" s="174"/>
      <c r="VG15" s="148" t="s">
        <v>381</v>
      </c>
      <c r="VH15" s="175">
        <v>1</v>
      </c>
      <c r="VI15" s="143"/>
      <c r="VJ15" s="175"/>
      <c r="VK15" s="143"/>
      <c r="VL15" s="175"/>
      <c r="VM15" s="143"/>
      <c r="VN15" s="175"/>
      <c r="VO15" s="143"/>
      <c r="VP15" s="176"/>
      <c r="VQ15" s="144"/>
      <c r="VR15" s="177"/>
      <c r="VS15" s="105"/>
      <c r="VT15" s="141"/>
      <c r="VU15" s="177"/>
      <c r="VV15" s="105"/>
      <c r="VW15" s="141"/>
      <c r="VX15" s="143"/>
      <c r="VY15" s="105"/>
      <c r="VZ15" s="141"/>
      <c r="WA15" s="177"/>
      <c r="WB15" s="105"/>
      <c r="WC15" s="141"/>
      <c r="WD15" s="177"/>
      <c r="WE15" s="105"/>
      <c r="WF15" s="141"/>
      <c r="WG15" s="177"/>
      <c r="WH15" s="105"/>
      <c r="WI15" s="141"/>
      <c r="WJ15" s="177"/>
      <c r="WK15" s="105"/>
      <c r="WL15" s="141"/>
      <c r="WM15" s="143"/>
      <c r="WN15" s="103"/>
      <c r="WO15" s="178"/>
      <c r="WP15" s="107"/>
      <c r="WQ15" s="183"/>
      <c r="WR15" s="146"/>
      <c r="WS15" s="184"/>
      <c r="WT15" s="149"/>
      <c r="WU15" s="184"/>
      <c r="WV15" s="154"/>
      <c r="WW15" s="179"/>
      <c r="WX15" s="108"/>
      <c r="WY15" s="162"/>
      <c r="WZ15" s="162"/>
      <c r="XA15" s="162"/>
      <c r="XB15" s="108"/>
      <c r="XC15" s="115">
        <f t="shared" si="37"/>
        <v>0</v>
      </c>
      <c r="XD15" s="88"/>
      <c r="XE15" s="109"/>
    </row>
    <row r="16" spans="1:629" s="2" customFormat="1" ht="18.600000000000001" thickBot="1" x14ac:dyDescent="0.35">
      <c r="A16" s="224"/>
      <c r="B16" s="467"/>
      <c r="C16" s="464"/>
      <c r="D16" s="459"/>
      <c r="E16" s="257"/>
      <c r="F16" s="257"/>
      <c r="G16" s="226"/>
      <c r="H16" s="227"/>
      <c r="I16" s="228"/>
      <c r="J16" s="227"/>
      <c r="K16" s="228"/>
      <c r="L16" s="227"/>
      <c r="M16" s="228"/>
      <c r="N16" s="227"/>
      <c r="O16" s="228"/>
      <c r="P16" s="227"/>
      <c r="Q16" s="228"/>
      <c r="R16" s="227"/>
      <c r="S16" s="229"/>
      <c r="T16" s="230"/>
      <c r="U16" s="228"/>
      <c r="V16" s="227"/>
      <c r="W16" s="228"/>
      <c r="X16" s="227"/>
      <c r="Y16" s="228"/>
      <c r="Z16" s="227"/>
      <c r="AA16" s="228"/>
      <c r="AB16" s="227"/>
      <c r="AC16" s="228"/>
      <c r="AD16" s="227"/>
      <c r="AE16" s="231"/>
      <c r="AF16" s="227"/>
      <c r="AG16" s="228"/>
      <c r="AH16" s="227"/>
      <c r="AI16" s="228"/>
      <c r="AJ16" s="227"/>
      <c r="AK16" s="228"/>
      <c r="AL16" s="227"/>
      <c r="AM16" s="228"/>
      <c r="AN16" s="227"/>
      <c r="AO16" s="228"/>
      <c r="AP16" s="227"/>
      <c r="AQ16" s="231"/>
      <c r="AR16" s="227"/>
      <c r="AS16" s="228"/>
      <c r="AT16" s="227"/>
      <c r="AU16" s="228"/>
      <c r="AV16" s="227"/>
      <c r="AW16" s="228"/>
      <c r="AX16" s="227"/>
      <c r="AY16" s="228"/>
      <c r="AZ16" s="227"/>
      <c r="BA16" s="228"/>
      <c r="BB16" s="227"/>
      <c r="BC16" s="231"/>
      <c r="BD16" s="227"/>
      <c r="BE16" s="228"/>
      <c r="BF16" s="227"/>
      <c r="BG16" s="228"/>
      <c r="BH16" s="227"/>
      <c r="BI16" s="228"/>
      <c r="BJ16" s="227"/>
      <c r="BK16" s="228"/>
      <c r="BL16" s="227"/>
      <c r="BM16" s="228"/>
      <c r="BN16" s="227"/>
      <c r="BO16" s="228"/>
      <c r="BP16" s="227"/>
      <c r="BQ16" s="228"/>
      <c r="BR16" s="227"/>
      <c r="BS16" s="228"/>
      <c r="BT16" s="227"/>
      <c r="BU16" s="228"/>
      <c r="BV16" s="227"/>
      <c r="BW16" s="228"/>
      <c r="BX16" s="227"/>
      <c r="BY16" s="228"/>
      <c r="BZ16" s="227"/>
      <c r="CA16" s="228"/>
      <c r="CB16" s="227"/>
      <c r="CC16" s="228"/>
      <c r="CD16" s="227"/>
      <c r="CE16" s="228"/>
      <c r="CF16" s="227"/>
      <c r="CG16" s="228"/>
      <c r="CH16" s="227"/>
      <c r="CI16" s="228"/>
      <c r="CJ16" s="227"/>
      <c r="CK16" s="228"/>
      <c r="CL16" s="227"/>
      <c r="CM16" s="228"/>
      <c r="CN16" s="227"/>
      <c r="CO16" s="228"/>
      <c r="CP16" s="227"/>
      <c r="CQ16" s="228"/>
      <c r="CR16" s="227"/>
      <c r="CS16" s="228"/>
      <c r="CT16" s="227"/>
      <c r="CU16" s="228"/>
      <c r="CV16" s="227"/>
      <c r="CW16" s="228"/>
      <c r="CX16" s="227"/>
      <c r="CY16" s="228"/>
      <c r="CZ16" s="227"/>
      <c r="DA16" s="228"/>
      <c r="DB16" s="227"/>
      <c r="DC16" s="228"/>
      <c r="DD16" s="227"/>
      <c r="DE16" s="228"/>
      <c r="DF16" s="227"/>
      <c r="DG16" s="228"/>
      <c r="DH16" s="227"/>
      <c r="DI16" s="228"/>
      <c r="DJ16" s="227"/>
      <c r="DK16" s="228"/>
      <c r="DL16" s="232"/>
      <c r="DM16" s="89"/>
      <c r="DN16" s="425">
        <f t="shared" si="1"/>
        <v>0</v>
      </c>
      <c r="DO16" s="233">
        <f t="shared" si="1"/>
        <v>0</v>
      </c>
      <c r="DP16" s="235">
        <f t="shared" si="1"/>
        <v>0</v>
      </c>
      <c r="DQ16" s="235">
        <f t="shared" si="0"/>
        <v>0</v>
      </c>
      <c r="DR16" s="235">
        <f t="shared" si="0"/>
        <v>0</v>
      </c>
      <c r="DS16" s="236">
        <f t="shared" ca="1" si="2"/>
        <v>1518</v>
      </c>
      <c r="DT16" s="237">
        <f>GV16</f>
        <v>0</v>
      </c>
      <c r="DU16" s="238">
        <f t="shared" ref="DU16:EA16" si="55">GX16</f>
        <v>0</v>
      </c>
      <c r="DV16" s="238">
        <f t="shared" si="55"/>
        <v>0</v>
      </c>
      <c r="DW16" s="238">
        <f t="shared" si="55"/>
        <v>0</v>
      </c>
      <c r="DX16" s="238">
        <f t="shared" si="55"/>
        <v>0</v>
      </c>
      <c r="DY16" s="238">
        <f t="shared" si="55"/>
        <v>0</v>
      </c>
      <c r="DZ16" s="238">
        <f t="shared" si="55"/>
        <v>0</v>
      </c>
      <c r="EA16" s="238">
        <f t="shared" si="55"/>
        <v>0</v>
      </c>
      <c r="EB16" s="239">
        <f>QW16</f>
        <v>0</v>
      </c>
      <c r="EC16" s="240"/>
      <c r="ED16" s="241">
        <f>HE16</f>
        <v>0</v>
      </c>
      <c r="EE16" s="242"/>
      <c r="EF16" s="243">
        <f t="shared" si="3"/>
        <v>0</v>
      </c>
      <c r="EG16" s="244">
        <f t="shared" si="4"/>
        <v>0</v>
      </c>
      <c r="EH16" s="245">
        <f t="shared" si="5"/>
        <v>0</v>
      </c>
      <c r="EI16" s="244">
        <f t="shared" si="6"/>
        <v>0</v>
      </c>
      <c r="EJ16" s="245">
        <f t="shared" si="7"/>
        <v>0</v>
      </c>
      <c r="EK16" s="246">
        <f t="shared" si="8"/>
        <v>0</v>
      </c>
      <c r="EL16" s="246">
        <f t="shared" si="9"/>
        <v>0</v>
      </c>
      <c r="EM16" s="246">
        <f t="shared" si="10"/>
        <v>0</v>
      </c>
      <c r="EN16" s="247"/>
      <c r="EO16" s="247"/>
      <c r="EP16" s="247"/>
      <c r="EQ16" s="247">
        <f t="shared" si="11"/>
        <v>0</v>
      </c>
      <c r="ER16" s="246">
        <f t="shared" si="12"/>
        <v>0</v>
      </c>
      <c r="ES16" s="247">
        <f t="shared" si="13"/>
        <v>0</v>
      </c>
      <c r="ET16" s="248">
        <f t="shared" si="14"/>
        <v>0</v>
      </c>
      <c r="EU16" s="249"/>
      <c r="EV16" s="237">
        <f t="shared" si="15"/>
        <v>0</v>
      </c>
      <c r="EW16" s="238">
        <f t="shared" si="16"/>
        <v>0</v>
      </c>
      <c r="EX16" s="238">
        <f>PY16</f>
        <v>0</v>
      </c>
      <c r="EY16" s="238">
        <f>QC16</f>
        <v>0</v>
      </c>
      <c r="EZ16" s="238">
        <f t="shared" si="38"/>
        <v>0</v>
      </c>
      <c r="FA16" s="239">
        <f t="shared" si="39"/>
        <v>0</v>
      </c>
      <c r="FB16" s="239">
        <f t="shared" si="43"/>
        <v>0</v>
      </c>
      <c r="FC16" s="239">
        <f t="shared" si="44"/>
        <v>0</v>
      </c>
      <c r="FD16" s="238">
        <f>UR16</f>
        <v>0</v>
      </c>
      <c r="FE16" s="238">
        <f>VB16</f>
        <v>0</v>
      </c>
      <c r="FF16" s="238">
        <f t="shared" si="40"/>
        <v>0</v>
      </c>
      <c r="FG16" s="238">
        <f>QQ16</f>
        <v>0</v>
      </c>
      <c r="FH16" s="239">
        <f>SB16</f>
        <v>0</v>
      </c>
      <c r="FI16" s="238">
        <f t="shared" si="17"/>
        <v>0</v>
      </c>
      <c r="FJ16" s="250">
        <f t="shared" si="18"/>
        <v>0</v>
      </c>
      <c r="FK16" s="251"/>
      <c r="FL16" s="252">
        <f t="shared" si="19"/>
        <v>0</v>
      </c>
      <c r="FM16" s="245">
        <f t="shared" si="20"/>
        <v>0</v>
      </c>
      <c r="FN16" s="247">
        <f t="shared" si="45"/>
        <v>0</v>
      </c>
      <c r="FO16" s="247">
        <f>QE16</f>
        <v>0</v>
      </c>
      <c r="FP16" s="244">
        <f>QI16</f>
        <v>0</v>
      </c>
      <c r="FQ16" s="245">
        <f t="shared" si="46"/>
        <v>0</v>
      </c>
      <c r="FR16" s="246">
        <f t="shared" si="47"/>
        <v>0</v>
      </c>
      <c r="FS16" s="246">
        <f t="shared" si="48"/>
        <v>0</v>
      </c>
      <c r="FT16" s="246">
        <f t="shared" si="49"/>
        <v>0</v>
      </c>
      <c r="FU16" s="247">
        <f>UV16</f>
        <v>0</v>
      </c>
      <c r="FV16" s="247">
        <f>VF16</f>
        <v>0</v>
      </c>
      <c r="FW16" s="247">
        <f t="shared" si="50"/>
        <v>0</v>
      </c>
      <c r="FX16" s="247">
        <f t="shared" si="51"/>
        <v>0</v>
      </c>
      <c r="FY16" s="246">
        <f t="shared" si="52"/>
        <v>0</v>
      </c>
      <c r="FZ16" s="253">
        <f t="shared" si="53"/>
        <v>0</v>
      </c>
      <c r="GA16" s="248">
        <f t="shared" si="54"/>
        <v>0</v>
      </c>
      <c r="GB16" s="254"/>
      <c r="GC16" s="252">
        <f t="shared" si="21"/>
        <v>0</v>
      </c>
      <c r="GD16" s="245">
        <f t="shared" si="22"/>
        <v>0</v>
      </c>
      <c r="GE16" s="244">
        <f t="shared" si="23"/>
        <v>0</v>
      </c>
      <c r="GF16" s="245">
        <f t="shared" si="24"/>
        <v>0</v>
      </c>
      <c r="GG16" s="246">
        <f t="shared" si="25"/>
        <v>0</v>
      </c>
      <c r="GH16" s="246">
        <f t="shared" si="26"/>
        <v>0</v>
      </c>
      <c r="GI16" s="246">
        <f>TF16</f>
        <v>0</v>
      </c>
      <c r="GJ16" s="247">
        <f t="shared" si="27"/>
        <v>0</v>
      </c>
      <c r="GK16" s="247">
        <f t="shared" si="28"/>
        <v>0</v>
      </c>
      <c r="GL16" s="247">
        <f t="shared" si="29"/>
        <v>0</v>
      </c>
      <c r="GM16" s="247">
        <f t="shared" si="30"/>
        <v>0</v>
      </c>
      <c r="GN16" s="246">
        <f t="shared" si="31"/>
        <v>0</v>
      </c>
      <c r="GO16" s="253">
        <f t="shared" si="32"/>
        <v>0</v>
      </c>
      <c r="GP16" s="248">
        <f t="shared" si="33"/>
        <v>0</v>
      </c>
      <c r="GQ16" s="254"/>
      <c r="GR16" s="232"/>
      <c r="GS16" s="91"/>
      <c r="GT16" s="233">
        <f t="shared" si="34"/>
        <v>0</v>
      </c>
      <c r="GU16" s="233">
        <f t="shared" si="34"/>
        <v>0</v>
      </c>
      <c r="GV16" s="255"/>
      <c r="GW16" s="256"/>
      <c r="GX16" s="256"/>
      <c r="GY16" s="256"/>
      <c r="GZ16" s="256"/>
      <c r="HA16" s="256"/>
      <c r="HB16" s="256"/>
      <c r="HC16" s="256"/>
      <c r="HD16" s="257"/>
      <c r="HE16" s="258"/>
      <c r="HF16" s="259">
        <f t="shared" si="41"/>
        <v>0</v>
      </c>
      <c r="HG16" s="260"/>
      <c r="HH16" s="217"/>
      <c r="HI16" s="260"/>
      <c r="HJ16" s="217"/>
      <c r="HK16" s="259">
        <f t="shared" si="35"/>
        <v>0</v>
      </c>
      <c r="HL16" s="260"/>
      <c r="HM16" s="137"/>
      <c r="HN16" s="260"/>
      <c r="HO16" s="137"/>
      <c r="HP16" s="261">
        <f t="shared" si="36"/>
        <v>0</v>
      </c>
      <c r="HQ16" s="260"/>
      <c r="HR16" s="137"/>
      <c r="HS16" s="260"/>
      <c r="HT16" s="139"/>
      <c r="HU16" s="262"/>
      <c r="HV16" s="262"/>
      <c r="HW16" s="262"/>
      <c r="HX16" s="140"/>
      <c r="HY16" s="259">
        <f t="shared" si="42"/>
        <v>0</v>
      </c>
      <c r="HZ16" s="263"/>
      <c r="IA16" s="256"/>
      <c r="IB16" s="263"/>
      <c r="IC16" s="256"/>
      <c r="ID16" s="256"/>
      <c r="IE16" s="240"/>
      <c r="IF16" s="264"/>
      <c r="IG16" s="256"/>
      <c r="IH16" s="263"/>
      <c r="II16" s="256"/>
      <c r="IJ16" s="256"/>
      <c r="IK16" s="256"/>
      <c r="IL16" s="264"/>
      <c r="IM16" s="256"/>
      <c r="IN16" s="263"/>
      <c r="IO16" s="256"/>
      <c r="IP16" s="256"/>
      <c r="IQ16" s="256"/>
      <c r="IR16" s="264"/>
      <c r="IS16" s="256"/>
      <c r="IT16" s="263"/>
      <c r="IU16" s="256"/>
      <c r="IV16" s="256"/>
      <c r="IW16" s="256"/>
      <c r="IX16" s="264"/>
      <c r="IY16" s="256"/>
      <c r="IZ16" s="263"/>
      <c r="JA16" s="256"/>
      <c r="JB16" s="256"/>
      <c r="JC16" s="240"/>
      <c r="JD16" s="264"/>
      <c r="JE16" s="256"/>
      <c r="JF16" s="263"/>
      <c r="JG16" s="256"/>
      <c r="JH16" s="256"/>
      <c r="JI16" s="265"/>
      <c r="JJ16" s="264"/>
      <c r="JK16" s="256"/>
      <c r="JL16" s="263"/>
      <c r="JM16" s="256"/>
      <c r="JN16" s="256"/>
      <c r="JO16" s="240"/>
      <c r="JP16" s="263"/>
      <c r="JQ16" s="256"/>
      <c r="JR16" s="263"/>
      <c r="JS16" s="256"/>
      <c r="JT16" s="256"/>
      <c r="JU16" s="265"/>
      <c r="JV16" s="264"/>
      <c r="JW16" s="256"/>
      <c r="JX16" s="263"/>
      <c r="JY16" s="256"/>
      <c r="JZ16" s="256"/>
      <c r="KA16" s="240"/>
      <c r="KB16" s="263"/>
      <c r="KC16" s="256"/>
      <c r="KD16" s="263"/>
      <c r="KE16" s="256"/>
      <c r="KF16" s="256"/>
      <c r="KG16" s="265"/>
      <c r="KH16" s="264"/>
      <c r="KI16" s="256"/>
      <c r="KJ16" s="263"/>
      <c r="KK16" s="256"/>
      <c r="KL16" s="256"/>
      <c r="KM16" s="240"/>
      <c r="KN16" s="264"/>
      <c r="KO16" s="256"/>
      <c r="KP16" s="263"/>
      <c r="KQ16" s="256"/>
      <c r="KR16" s="256"/>
      <c r="KS16" s="265"/>
      <c r="KT16" s="264"/>
      <c r="KU16" s="256"/>
      <c r="KV16" s="263"/>
      <c r="KW16" s="256"/>
      <c r="KX16" s="256"/>
      <c r="KY16" s="240"/>
      <c r="KZ16" s="263"/>
      <c r="LA16" s="256"/>
      <c r="LB16" s="263"/>
      <c r="LC16" s="256"/>
      <c r="LD16" s="256"/>
      <c r="LE16" s="265"/>
      <c r="LF16" s="264"/>
      <c r="LG16" s="256"/>
      <c r="LH16" s="263"/>
      <c r="LI16" s="256"/>
      <c r="LJ16" s="256"/>
      <c r="LK16" s="240"/>
      <c r="LL16" s="263"/>
      <c r="LM16" s="256"/>
      <c r="LN16" s="263"/>
      <c r="LO16" s="256"/>
      <c r="LP16" s="256"/>
      <c r="LQ16" s="265"/>
      <c r="LR16" s="264"/>
      <c r="LS16" s="256"/>
      <c r="LT16" s="263"/>
      <c r="LU16" s="256"/>
      <c r="LV16" s="256"/>
      <c r="LW16" s="240"/>
      <c r="LX16" s="263"/>
      <c r="LY16" s="256"/>
      <c r="LZ16" s="257"/>
      <c r="MA16" s="256"/>
      <c r="MB16" s="257"/>
      <c r="MC16" s="240"/>
      <c r="MD16" s="257"/>
      <c r="ME16" s="256"/>
      <c r="MF16" s="257"/>
      <c r="MG16" s="256"/>
      <c r="MH16" s="257"/>
      <c r="MI16" s="240"/>
      <c r="MJ16" s="257"/>
      <c r="MK16" s="256"/>
      <c r="ML16" s="257"/>
      <c r="MM16" s="256"/>
      <c r="MN16" s="257"/>
      <c r="MO16" s="240"/>
      <c r="MP16" s="257"/>
      <c r="MQ16" s="256"/>
      <c r="MR16" s="257"/>
      <c r="MS16" s="256"/>
      <c r="MT16" s="257"/>
      <c r="MU16" s="240"/>
      <c r="MV16" s="257"/>
      <c r="MW16" s="256"/>
      <c r="MX16" s="257"/>
      <c r="MY16" s="256"/>
      <c r="MZ16" s="257"/>
      <c r="NA16" s="240"/>
      <c r="NB16" s="257"/>
      <c r="NC16" s="256"/>
      <c r="ND16" s="257"/>
      <c r="NE16" s="256"/>
      <c r="NF16" s="257"/>
      <c r="NG16" s="240"/>
      <c r="NH16" s="257"/>
      <c r="NI16" s="256"/>
      <c r="NJ16" s="257"/>
      <c r="NK16" s="256"/>
      <c r="NL16" s="257"/>
      <c r="NM16" s="240"/>
      <c r="NN16" s="257"/>
      <c r="NO16" s="256"/>
      <c r="NP16" s="257"/>
      <c r="NQ16" s="256"/>
      <c r="NR16" s="257"/>
      <c r="NS16" s="240"/>
      <c r="NT16" s="257"/>
      <c r="NU16" s="256"/>
      <c r="NV16" s="257"/>
      <c r="NW16" s="256"/>
      <c r="NX16" s="257"/>
      <c r="NY16" s="240"/>
      <c r="NZ16" s="257"/>
      <c r="OA16" s="256"/>
      <c r="OB16" s="257"/>
      <c r="OC16" s="256"/>
      <c r="OD16" s="257"/>
      <c r="OE16" s="240"/>
      <c r="OF16" s="257"/>
      <c r="OG16" s="256"/>
      <c r="OH16" s="257"/>
      <c r="OI16" s="256"/>
      <c r="OJ16" s="257"/>
      <c r="OK16" s="240"/>
      <c r="OL16" s="257"/>
      <c r="OM16" s="256"/>
      <c r="ON16" s="257"/>
      <c r="OO16" s="256"/>
      <c r="OP16" s="257"/>
      <c r="OQ16" s="240"/>
      <c r="OR16" s="257"/>
      <c r="OS16" s="256"/>
      <c r="OT16" s="257"/>
      <c r="OU16" s="256"/>
      <c r="OV16" s="257"/>
      <c r="OW16" s="240"/>
      <c r="OX16" s="257"/>
      <c r="OY16" s="256"/>
      <c r="OZ16" s="257"/>
      <c r="PA16" s="256"/>
      <c r="PB16" s="257"/>
      <c r="PC16" s="240"/>
      <c r="PD16" s="257"/>
      <c r="PE16" s="256"/>
      <c r="PF16" s="257"/>
      <c r="PG16" s="256"/>
      <c r="PH16" s="257"/>
      <c r="PI16" s="240"/>
      <c r="PJ16" s="257"/>
      <c r="PK16" s="256"/>
      <c r="PL16" s="257"/>
      <c r="PM16" s="256"/>
      <c r="PN16" s="257"/>
      <c r="PO16" s="240"/>
      <c r="PP16" s="257"/>
      <c r="PQ16" s="256"/>
      <c r="PR16" s="257"/>
      <c r="PS16" s="256"/>
      <c r="PT16" s="257"/>
      <c r="PU16" s="240"/>
      <c r="PV16" s="225"/>
      <c r="PW16" s="266"/>
      <c r="PX16" s="257"/>
      <c r="PY16" s="266"/>
      <c r="PZ16" s="257"/>
      <c r="QA16" s="267"/>
      <c r="QB16" s="225"/>
      <c r="QC16" s="147"/>
      <c r="QD16" s="257"/>
      <c r="QE16" s="268"/>
      <c r="QF16" s="257"/>
      <c r="QG16" s="269"/>
      <c r="QH16" s="257"/>
      <c r="QI16" s="270"/>
      <c r="QJ16" s="257"/>
      <c r="QK16" s="270"/>
      <c r="QL16" s="257"/>
      <c r="QM16" s="270"/>
      <c r="QN16" s="271"/>
      <c r="QO16" s="267"/>
      <c r="QP16" s="272"/>
      <c r="QQ16" s="269"/>
      <c r="QR16" s="272"/>
      <c r="QS16" s="273"/>
      <c r="QT16" s="274"/>
      <c r="QU16" s="262"/>
      <c r="QV16" s="275"/>
      <c r="QW16" s="276"/>
      <c r="QX16" s="277"/>
      <c r="QY16" s="278"/>
      <c r="QZ16" s="277"/>
      <c r="RA16" s="278"/>
      <c r="RB16" s="277"/>
      <c r="RC16" s="278"/>
      <c r="RD16" s="274"/>
      <c r="RE16" s="279"/>
      <c r="RF16" s="280"/>
      <c r="RG16" s="280"/>
      <c r="RH16" s="281"/>
      <c r="RI16" s="281"/>
      <c r="RJ16" s="282"/>
      <c r="RK16" s="278"/>
      <c r="RL16" s="277"/>
      <c r="RM16" s="283"/>
      <c r="RN16" s="277"/>
      <c r="RO16" s="283"/>
      <c r="RP16" s="277"/>
      <c r="RQ16" s="283"/>
      <c r="RR16" s="274"/>
      <c r="RS16" s="279"/>
      <c r="RT16" s="280"/>
      <c r="RU16" s="280"/>
      <c r="RV16" s="280"/>
      <c r="RW16" s="280"/>
      <c r="RX16" s="280"/>
      <c r="RY16" s="281"/>
      <c r="RZ16" s="281"/>
      <c r="SA16" s="282"/>
      <c r="SB16" s="283"/>
      <c r="SC16" s="274"/>
      <c r="SD16" s="282"/>
      <c r="SE16" s="284"/>
      <c r="SF16" s="277"/>
      <c r="SG16" s="275"/>
      <c r="SH16" s="284"/>
      <c r="SI16" s="277"/>
      <c r="SJ16" s="284"/>
      <c r="SK16" s="274"/>
      <c r="SL16" s="279"/>
      <c r="SM16" s="280"/>
      <c r="SN16" s="280"/>
      <c r="SO16" s="280"/>
      <c r="SP16" s="280"/>
      <c r="SQ16" s="280"/>
      <c r="SR16" s="280"/>
      <c r="SS16" s="280"/>
      <c r="ST16" s="281"/>
      <c r="SU16" s="281"/>
      <c r="SV16" s="282"/>
      <c r="SW16" s="284"/>
      <c r="SX16" s="274"/>
      <c r="SY16" s="282"/>
      <c r="SZ16" s="285"/>
      <c r="TA16" s="274"/>
      <c r="TB16" s="286"/>
      <c r="TC16" s="275"/>
      <c r="TD16" s="285"/>
      <c r="TE16" s="277"/>
      <c r="TF16" s="285"/>
      <c r="TG16" s="274"/>
      <c r="TH16" s="279"/>
      <c r="TI16" s="280"/>
      <c r="TJ16" s="280"/>
      <c r="TK16" s="280"/>
      <c r="TL16" s="280"/>
      <c r="TM16" s="280"/>
      <c r="TN16" s="280"/>
      <c r="TO16" s="280"/>
      <c r="TP16" s="280"/>
      <c r="TQ16" s="280"/>
      <c r="TR16" s="280"/>
      <c r="TS16" s="281"/>
      <c r="TT16" s="281"/>
      <c r="TU16" s="282"/>
      <c r="TV16" s="285"/>
      <c r="TW16" s="271"/>
      <c r="TX16" s="267"/>
      <c r="TY16" s="272"/>
      <c r="TZ16" s="269"/>
      <c r="UA16" s="272"/>
      <c r="UB16" s="273"/>
      <c r="UC16" s="287"/>
      <c r="UD16" s="288"/>
      <c r="UE16" s="289"/>
      <c r="UF16" s="288"/>
      <c r="UG16" s="287"/>
      <c r="UH16" s="288"/>
      <c r="UI16" s="257"/>
      <c r="UJ16" s="288"/>
      <c r="UK16" s="257"/>
      <c r="UL16" s="290"/>
      <c r="UM16" s="225"/>
      <c r="UN16" s="291"/>
      <c r="UO16" s="265"/>
      <c r="UP16" s="291"/>
      <c r="UQ16" s="265"/>
      <c r="UR16" s="291"/>
      <c r="US16" s="265"/>
      <c r="UT16" s="291"/>
      <c r="UU16" s="257"/>
      <c r="UV16" s="292"/>
      <c r="UW16" s="287"/>
      <c r="UX16" s="293"/>
      <c r="UY16" s="287"/>
      <c r="UZ16" s="293"/>
      <c r="VA16" s="287"/>
      <c r="VB16" s="293"/>
      <c r="VC16" s="257"/>
      <c r="VD16" s="293"/>
      <c r="VE16" s="257"/>
      <c r="VF16" s="294"/>
      <c r="VG16" s="295"/>
      <c r="VH16" s="296"/>
      <c r="VI16" s="265"/>
      <c r="VJ16" s="296"/>
      <c r="VK16" s="287"/>
      <c r="VL16" s="296"/>
      <c r="VM16" s="257"/>
      <c r="VN16" s="296"/>
      <c r="VO16" s="257"/>
      <c r="VP16" s="297"/>
      <c r="VQ16" s="264"/>
      <c r="VR16" s="257"/>
      <c r="VS16" s="298"/>
      <c r="VT16" s="256"/>
      <c r="VU16" s="265"/>
      <c r="VV16" s="299"/>
      <c r="VW16" s="256"/>
      <c r="VX16" s="257"/>
      <c r="VY16" s="298"/>
      <c r="VZ16" s="265"/>
      <c r="WA16" s="265"/>
      <c r="WB16" s="298"/>
      <c r="WC16" s="265"/>
      <c r="WD16" s="265"/>
      <c r="WE16" s="298"/>
      <c r="WF16" s="265"/>
      <c r="WG16" s="265"/>
      <c r="WH16" s="300"/>
      <c r="WI16" s="265"/>
      <c r="WJ16" s="265"/>
      <c r="WK16" s="299"/>
      <c r="WL16" s="257"/>
      <c r="WM16" s="265"/>
      <c r="WN16" s="298"/>
      <c r="WO16" s="301"/>
      <c r="WP16" s="302"/>
      <c r="WQ16" s="271"/>
      <c r="WR16" s="267"/>
      <c r="WS16" s="272"/>
      <c r="WT16" s="269"/>
      <c r="WU16" s="272"/>
      <c r="WV16" s="273"/>
      <c r="WW16" s="303"/>
      <c r="WX16" s="180"/>
      <c r="WY16" s="262"/>
      <c r="WZ16" s="262"/>
      <c r="XA16" s="262"/>
      <c r="XB16" s="180"/>
      <c r="XC16" s="234">
        <f t="shared" si="37"/>
        <v>0</v>
      </c>
      <c r="XD16" s="88"/>
      <c r="XE16" s="109"/>
    </row>
    <row r="17" spans="1:629" s="2" customFormat="1" ht="25.2" x14ac:dyDescent="0.3">
      <c r="A17" s="304"/>
      <c r="B17" s="308"/>
      <c r="DL17" s="305"/>
      <c r="DM17" s="305"/>
      <c r="DN17" s="306"/>
      <c r="DO17" s="306"/>
      <c r="DP17" s="306"/>
      <c r="DQ17" s="306"/>
      <c r="DR17" s="306"/>
      <c r="DS17" s="306"/>
      <c r="DT17" s="109"/>
      <c r="DU17" s="109"/>
      <c r="DV17" s="109"/>
      <c r="DW17" s="109"/>
      <c r="DX17" s="109"/>
      <c r="DY17" s="109"/>
      <c r="DZ17" s="109"/>
      <c r="EA17" s="109"/>
      <c r="EB17" s="109"/>
      <c r="EC17" s="109"/>
      <c r="ED17" s="306"/>
      <c r="EE17" s="306"/>
      <c r="EF17" s="306"/>
      <c r="EG17" s="306"/>
      <c r="EH17" s="306"/>
      <c r="EI17" s="306"/>
      <c r="EJ17" s="306"/>
      <c r="EK17" s="306"/>
      <c r="EL17" s="306"/>
      <c r="EM17" s="306"/>
      <c r="EN17" s="306"/>
      <c r="EO17" s="306"/>
      <c r="EP17" s="306"/>
      <c r="EQ17" s="306"/>
      <c r="ER17" s="306"/>
      <c r="ES17" s="306"/>
      <c r="ET17" s="306"/>
      <c r="EU17" s="306"/>
      <c r="EV17" s="109"/>
      <c r="EW17" s="109"/>
      <c r="EX17" s="109"/>
      <c r="EY17" s="109"/>
      <c r="EZ17" s="109"/>
      <c r="FA17" s="109"/>
      <c r="FB17" s="109"/>
      <c r="FC17" s="109"/>
      <c r="FD17" s="109"/>
      <c r="FE17" s="109"/>
      <c r="FF17" s="109"/>
      <c r="FG17" s="109"/>
      <c r="FH17" s="109"/>
      <c r="FI17" s="109"/>
      <c r="FJ17" s="109"/>
      <c r="FK17" s="306"/>
      <c r="FL17" s="306"/>
      <c r="FM17" s="306"/>
      <c r="FN17" s="306"/>
      <c r="FO17" s="306"/>
      <c r="FP17" s="306"/>
      <c r="FQ17" s="306"/>
      <c r="FR17" s="306"/>
      <c r="FS17" s="306"/>
      <c r="FT17" s="306"/>
      <c r="FU17" s="306"/>
      <c r="FV17" s="306"/>
      <c r="FW17" s="306"/>
      <c r="FX17" s="306"/>
      <c r="FY17" s="306"/>
      <c r="FZ17" s="306"/>
      <c r="GA17" s="306"/>
      <c r="GB17" s="306"/>
      <c r="GC17" s="306"/>
      <c r="GD17" s="306"/>
      <c r="GE17" s="306"/>
      <c r="GF17" s="306"/>
      <c r="GG17" s="306"/>
      <c r="GH17" s="306"/>
      <c r="GI17" s="306"/>
      <c r="GJ17" s="306"/>
      <c r="GK17" s="306"/>
      <c r="GL17" s="306"/>
      <c r="GM17" s="306"/>
      <c r="GN17" s="306"/>
      <c r="GO17" s="306"/>
      <c r="GP17" s="306"/>
      <c r="GQ17" s="306"/>
      <c r="GR17" s="306"/>
      <c r="GS17" s="7"/>
      <c r="GT17" s="304"/>
      <c r="GU17" s="304"/>
      <c r="GV17" s="304"/>
      <c r="GW17" s="304"/>
      <c r="GX17" s="304"/>
      <c r="GY17" s="304"/>
      <c r="GZ17" s="304"/>
      <c r="HA17" s="304"/>
      <c r="HB17" s="304"/>
      <c r="HC17" s="304"/>
      <c r="HD17" s="304"/>
      <c r="HE17" s="307"/>
      <c r="HF17" s="308"/>
      <c r="HG17" s="308"/>
      <c r="HH17" s="309"/>
      <c r="HI17" s="308"/>
      <c r="HJ17" s="309"/>
      <c r="HK17" s="308"/>
      <c r="HL17" s="308"/>
      <c r="HM17" s="310"/>
      <c r="HN17" s="308"/>
      <c r="HO17" s="310"/>
      <c r="HP17" s="308"/>
      <c r="HQ17" s="308"/>
      <c r="HR17" s="310"/>
      <c r="HS17" s="308"/>
      <c r="HT17" s="310"/>
      <c r="HU17" s="304"/>
      <c r="HV17" s="304"/>
      <c r="HW17" s="304"/>
      <c r="HX17" s="310"/>
      <c r="HY17" s="308"/>
      <c r="HZ17" s="1"/>
      <c r="IA17" s="1"/>
      <c r="IB17" s="1"/>
      <c r="IC17" s="1"/>
      <c r="ID17" s="1"/>
      <c r="IE17" s="1"/>
      <c r="IF17" s="1"/>
      <c r="IG17" s="1"/>
      <c r="IH17" s="1"/>
      <c r="II17" s="1"/>
      <c r="IJ17" s="1"/>
      <c r="IK17" s="1"/>
      <c r="IL17" s="1"/>
      <c r="IM17" s="1"/>
      <c r="IN17" s="1"/>
      <c r="IO17" s="1"/>
      <c r="IP17" s="1"/>
      <c r="IQ17" s="1"/>
      <c r="IR17" s="1"/>
      <c r="IS17" s="1"/>
      <c r="IT17" s="1"/>
      <c r="IU17" s="1"/>
      <c r="IV17" s="1"/>
      <c r="IW17" s="1"/>
      <c r="IX17" s="1"/>
      <c r="IY17" s="1"/>
      <c r="IZ17" s="1"/>
      <c r="JA17" s="1"/>
      <c r="JB17" s="1"/>
      <c r="JC17" s="1"/>
      <c r="JD17" s="1"/>
      <c r="JE17" s="1"/>
      <c r="JF17" s="1"/>
      <c r="JG17" s="1"/>
      <c r="JH17" s="1"/>
      <c r="JI17" s="1"/>
      <c r="JJ17" s="1"/>
      <c r="JK17" s="1"/>
      <c r="JL17" s="1"/>
      <c r="JM17" s="1"/>
      <c r="JN17" s="1"/>
      <c r="JO17" s="1"/>
      <c r="JP17" s="1"/>
      <c r="JQ17" s="1"/>
      <c r="JR17" s="1"/>
      <c r="JS17" s="1"/>
      <c r="JT17" s="1"/>
      <c r="JU17" s="1"/>
      <c r="JV17" s="1"/>
      <c r="JW17" s="1"/>
      <c r="JX17" s="1"/>
      <c r="JY17" s="1"/>
      <c r="JZ17" s="1"/>
      <c r="KA17" s="1"/>
      <c r="KB17" s="1"/>
      <c r="KC17" s="1"/>
      <c r="KD17" s="1"/>
      <c r="KE17" s="1"/>
      <c r="KF17" s="1"/>
      <c r="KG17" s="1"/>
      <c r="KH17" s="1"/>
      <c r="KI17" s="1"/>
      <c r="KJ17" s="1"/>
      <c r="KK17" s="1"/>
      <c r="KL17" s="1"/>
      <c r="KM17" s="1"/>
      <c r="KN17" s="1"/>
      <c r="KO17" s="1"/>
      <c r="KP17" s="1"/>
      <c r="KQ17" s="1"/>
      <c r="KR17" s="1"/>
      <c r="KS17" s="1"/>
      <c r="KT17" s="1"/>
      <c r="KU17" s="1"/>
      <c r="KV17" s="1"/>
      <c r="KW17" s="1"/>
      <c r="KX17" s="1"/>
      <c r="KY17" s="1"/>
      <c r="KZ17" s="1"/>
      <c r="LA17" s="1"/>
      <c r="LB17" s="1"/>
      <c r="LC17" s="1"/>
      <c r="LD17" s="1"/>
      <c r="LE17" s="1"/>
      <c r="LF17" s="1"/>
      <c r="LG17" s="1"/>
      <c r="LH17" s="1"/>
      <c r="LI17" s="1"/>
      <c r="LJ17" s="1"/>
      <c r="LK17" s="1"/>
      <c r="LL17" s="1"/>
      <c r="LM17" s="1"/>
      <c r="LN17" s="1"/>
      <c r="LO17" s="1"/>
      <c r="LP17" s="1"/>
      <c r="LQ17" s="1"/>
      <c r="LR17" s="1"/>
      <c r="LS17" s="1"/>
      <c r="LT17" s="1"/>
      <c r="LU17" s="1"/>
      <c r="LV17" s="1"/>
      <c r="LW17" s="1"/>
      <c r="LX17" s="1"/>
      <c r="LY17" s="1"/>
      <c r="LZ17" s="1"/>
      <c r="MA17" s="1"/>
      <c r="MB17" s="1"/>
      <c r="MC17" s="1"/>
      <c r="MD17" s="1"/>
      <c r="ME17" s="1"/>
      <c r="MF17" s="1"/>
      <c r="MG17" s="1"/>
      <c r="MH17" s="1"/>
      <c r="MI17" s="1"/>
      <c r="MJ17" s="1"/>
      <c r="MK17" s="1"/>
      <c r="ML17" s="1"/>
      <c r="MM17" s="1"/>
      <c r="MN17" s="1"/>
      <c r="MO17" s="1"/>
      <c r="MP17" s="1"/>
      <c r="MQ17" s="1"/>
      <c r="MR17" s="1"/>
      <c r="MS17" s="1"/>
      <c r="MT17" s="1"/>
      <c r="MU17" s="1"/>
      <c r="MV17" s="1"/>
      <c r="MW17" s="1"/>
      <c r="MX17" s="1"/>
      <c r="MY17" s="1"/>
      <c r="MZ17" s="1"/>
      <c r="NA17" s="1"/>
      <c r="NB17" s="1"/>
      <c r="NC17" s="1"/>
      <c r="ND17" s="1"/>
      <c r="NE17" s="1"/>
      <c r="NF17" s="1"/>
      <c r="NG17" s="1"/>
      <c r="NH17" s="1"/>
      <c r="NI17" s="1"/>
      <c r="NJ17" s="1"/>
      <c r="NK17" s="1"/>
      <c r="NL17" s="1"/>
      <c r="NM17" s="1"/>
      <c r="NN17" s="1"/>
      <c r="NO17" s="1"/>
      <c r="NP17" s="1"/>
      <c r="NQ17" s="1"/>
      <c r="NR17" s="1"/>
      <c r="NS17" s="1"/>
      <c r="NT17" s="1"/>
      <c r="NU17" s="1"/>
      <c r="NV17" s="1"/>
      <c r="NW17" s="1"/>
      <c r="NX17" s="1"/>
      <c r="NY17" s="1"/>
      <c r="NZ17" s="1"/>
      <c r="OA17" s="1"/>
      <c r="OB17" s="1"/>
      <c r="OC17" s="1"/>
      <c r="OD17" s="1"/>
      <c r="OE17" s="1"/>
      <c r="OF17" s="1"/>
      <c r="OG17" s="1"/>
      <c r="OH17" s="1"/>
      <c r="OI17" s="1"/>
      <c r="OJ17" s="1"/>
      <c r="OK17" s="1"/>
      <c r="OL17" s="1"/>
      <c r="OM17" s="1"/>
      <c r="ON17" s="1"/>
      <c r="OO17" s="1"/>
      <c r="OP17" s="1"/>
      <c r="OQ17" s="1"/>
      <c r="OR17" s="1"/>
      <c r="OS17" s="1"/>
      <c r="OT17" s="1"/>
      <c r="OU17" s="1"/>
      <c r="OV17" s="1"/>
      <c r="OW17" s="1"/>
      <c r="OX17" s="1"/>
      <c r="OY17" s="1"/>
      <c r="OZ17" s="1"/>
      <c r="PA17" s="1"/>
      <c r="PB17" s="1"/>
      <c r="PC17" s="1"/>
      <c r="PD17" s="1"/>
      <c r="PE17" s="1"/>
      <c r="PF17" s="1"/>
      <c r="PG17" s="1"/>
      <c r="PH17" s="1"/>
      <c r="PI17" s="1"/>
      <c r="PJ17" s="1"/>
      <c r="PK17" s="1"/>
      <c r="PL17" s="1"/>
      <c r="PM17" s="1"/>
      <c r="PN17" s="1"/>
      <c r="PO17" s="1"/>
      <c r="PP17" s="1"/>
      <c r="PQ17" s="1"/>
      <c r="PR17" s="1"/>
      <c r="PS17" s="1"/>
      <c r="PT17" s="1"/>
      <c r="PU17" s="1"/>
      <c r="PV17" s="1"/>
      <c r="PW17" s="1"/>
      <c r="PX17" s="1"/>
      <c r="PY17" s="1"/>
      <c r="PZ17" s="1"/>
      <c r="QA17" s="1"/>
      <c r="QB17" s="1"/>
      <c r="QC17" s="311"/>
      <c r="QD17" s="1"/>
      <c r="QE17" s="1"/>
      <c r="QF17" s="1"/>
      <c r="QG17" s="1"/>
      <c r="QH17" s="1"/>
      <c r="QI17" s="1"/>
      <c r="QJ17" s="1"/>
      <c r="QK17" s="1"/>
      <c r="QL17" s="1"/>
      <c r="QM17" s="1"/>
      <c r="QN17" s="1"/>
      <c r="QO17" s="1"/>
      <c r="QP17" s="1"/>
      <c r="QQ17" s="1"/>
      <c r="QR17" s="1"/>
      <c r="QS17" s="1"/>
      <c r="QT17" s="1"/>
      <c r="QU17" s="1"/>
      <c r="QV17" s="1"/>
      <c r="QW17" s="1"/>
      <c r="QX17" s="1"/>
      <c r="QY17" s="1"/>
      <c r="QZ17" s="1"/>
      <c r="RA17" s="1"/>
      <c r="RB17" s="1"/>
      <c r="RC17" s="1"/>
      <c r="RD17" s="1"/>
      <c r="RE17" s="1"/>
      <c r="RF17" s="1"/>
      <c r="RG17" s="1"/>
      <c r="RH17" s="1"/>
      <c r="RI17" s="1"/>
      <c r="RJ17" s="1"/>
      <c r="RK17" s="1"/>
      <c r="RL17" s="1"/>
      <c r="RM17" s="1"/>
      <c r="RN17" s="1"/>
      <c r="RO17" s="1"/>
      <c r="RP17" s="1"/>
      <c r="RQ17" s="1"/>
      <c r="RR17" s="1"/>
      <c r="RS17" s="1"/>
      <c r="RT17" s="1"/>
      <c r="RU17" s="1"/>
      <c r="RV17" s="1"/>
      <c r="RW17" s="1"/>
      <c r="RX17" s="1"/>
      <c r="RY17" s="1"/>
      <c r="RZ17" s="1"/>
      <c r="SA17" s="1"/>
      <c r="SB17" s="1"/>
      <c r="SC17" s="1"/>
      <c r="SD17" s="1"/>
      <c r="SE17" s="1"/>
      <c r="SF17" s="1"/>
      <c r="SG17" s="1"/>
      <c r="SH17" s="1"/>
      <c r="SI17" s="1"/>
      <c r="SJ17" s="1"/>
      <c r="SK17" s="1"/>
      <c r="SL17" s="1"/>
      <c r="SM17" s="1"/>
      <c r="SN17" s="1"/>
      <c r="SO17" s="1"/>
      <c r="SP17" s="1"/>
      <c r="SQ17" s="1"/>
      <c r="SR17" s="1"/>
      <c r="SS17" s="1"/>
      <c r="ST17" s="1"/>
      <c r="SU17" s="1"/>
      <c r="SV17" s="1"/>
      <c r="SW17" s="1"/>
      <c r="SX17" s="1"/>
      <c r="SY17" s="1"/>
      <c r="SZ17" s="1"/>
      <c r="TA17" s="1"/>
      <c r="TB17" s="1"/>
      <c r="TC17" s="1"/>
      <c r="TD17" s="1"/>
      <c r="TE17" s="1"/>
      <c r="TF17" s="1"/>
      <c r="TG17" s="1"/>
      <c r="TH17" s="1"/>
      <c r="TI17" s="1"/>
      <c r="TJ17" s="1"/>
      <c r="TK17" s="1"/>
      <c r="TL17" s="1"/>
      <c r="TM17" s="1"/>
      <c r="TN17" s="1"/>
      <c r="TO17" s="1"/>
      <c r="TP17" s="1"/>
      <c r="TQ17" s="1"/>
      <c r="TR17" s="1"/>
      <c r="TS17" s="1"/>
      <c r="TT17" s="1"/>
      <c r="TU17" s="1"/>
      <c r="TV17" s="1"/>
      <c r="TW17" s="1"/>
      <c r="TX17" s="1"/>
      <c r="TY17" s="1"/>
      <c r="TZ17" s="1"/>
      <c r="UA17" s="1"/>
      <c r="UB17" s="1"/>
      <c r="UC17" s="1"/>
      <c r="UD17" s="1"/>
      <c r="UE17" s="1"/>
      <c r="UF17" s="1"/>
      <c r="UG17" s="1"/>
      <c r="UH17" s="1"/>
      <c r="UI17" s="1"/>
      <c r="UJ17" s="1"/>
      <c r="UK17" s="1"/>
      <c r="UL17" s="1"/>
      <c r="UM17" s="1"/>
      <c r="UN17" s="1"/>
      <c r="UO17" s="1"/>
      <c r="UP17" s="1"/>
      <c r="UQ17" s="1"/>
      <c r="UR17" s="1"/>
      <c r="US17" s="1"/>
      <c r="UT17" s="1"/>
      <c r="UU17" s="1"/>
      <c r="UV17" s="1"/>
      <c r="UW17" s="1"/>
      <c r="UX17" s="1"/>
      <c r="UY17" s="1"/>
      <c r="UZ17" s="1"/>
      <c r="VA17" s="1"/>
      <c r="VB17" s="1"/>
      <c r="VC17" s="1"/>
      <c r="VD17" s="1"/>
      <c r="VE17" s="1"/>
      <c r="VF17" s="1"/>
      <c r="VG17" s="1"/>
      <c r="VH17" s="1"/>
      <c r="VI17" s="1"/>
      <c r="VJ17" s="1"/>
      <c r="VK17" s="1"/>
      <c r="VL17" s="1"/>
      <c r="VM17" s="1"/>
      <c r="VN17" s="1"/>
      <c r="VO17" s="1"/>
      <c r="VP17" s="1"/>
      <c r="VQ17" s="1"/>
      <c r="VR17" s="1"/>
      <c r="VS17" s="1"/>
      <c r="VT17" s="1"/>
      <c r="VU17" s="1"/>
      <c r="VV17" s="1"/>
      <c r="VW17" s="1"/>
      <c r="VX17" s="1"/>
      <c r="VY17" s="1"/>
      <c r="VZ17" s="1"/>
      <c r="WA17" s="1"/>
      <c r="WB17" s="1"/>
      <c r="WC17" s="1"/>
      <c r="WD17" s="1"/>
      <c r="WE17" s="1"/>
      <c r="WF17" s="1"/>
      <c r="WG17" s="1"/>
      <c r="WH17" s="1"/>
      <c r="WI17" s="1"/>
      <c r="WJ17" s="1"/>
      <c r="WK17" s="1"/>
      <c r="WL17" s="1"/>
      <c r="WM17" s="1"/>
      <c r="WN17" s="1"/>
      <c r="WO17" s="1"/>
      <c r="WP17" s="1"/>
      <c r="WQ17" s="1"/>
      <c r="WR17" s="1"/>
      <c r="WS17" s="1"/>
      <c r="WT17" s="1"/>
      <c r="WU17" s="1"/>
      <c r="WV17" s="1"/>
      <c r="WW17" s="304"/>
      <c r="WX17" s="310"/>
      <c r="WY17" s="304"/>
      <c r="WZ17" s="304"/>
      <c r="XA17" s="304"/>
      <c r="XB17" s="310"/>
      <c r="XC17" s="304"/>
      <c r="XD17" s="88"/>
      <c r="XE17" s="109"/>
    </row>
    <row r="18" spans="1:629" s="2" customFormat="1" ht="30.6" x14ac:dyDescent="0.3">
      <c r="A18" s="1"/>
      <c r="B18" s="312"/>
      <c r="C18" s="405" t="s">
        <v>355</v>
      </c>
      <c r="D18" s="405"/>
      <c r="E18" s="1"/>
      <c r="F18" s="1"/>
      <c r="G18" s="313" t="s">
        <v>343</v>
      </c>
      <c r="H18" s="314"/>
      <c r="DL18" s="305"/>
      <c r="DM18" s="305"/>
      <c r="DP18" s="315"/>
      <c r="DQ18" s="315"/>
      <c r="DR18" s="315"/>
      <c r="DS18" s="315"/>
      <c r="FS18" s="316"/>
      <c r="FT18" s="316"/>
      <c r="GH18" s="316"/>
      <c r="GI18" s="316"/>
      <c r="GS18" s="5"/>
      <c r="GT18" s="1"/>
      <c r="GU18" s="1"/>
      <c r="GV18" s="1"/>
      <c r="GW18" s="1"/>
      <c r="GX18" s="1"/>
      <c r="GY18" s="1"/>
      <c r="GZ18" s="1"/>
      <c r="HA18" s="1"/>
      <c r="HB18" s="1"/>
      <c r="HC18" s="1"/>
      <c r="HD18" s="1"/>
      <c r="HF18" s="1"/>
      <c r="HG18" s="1"/>
      <c r="HH18" s="309"/>
      <c r="HI18" s="1"/>
      <c r="HJ18" s="309"/>
      <c r="HK18" s="1"/>
      <c r="HL18" s="1"/>
      <c r="HM18" s="309"/>
      <c r="HN18" s="1"/>
      <c r="HO18" s="309"/>
      <c r="HP18" s="1"/>
      <c r="HQ18" s="1"/>
      <c r="HR18" s="309"/>
      <c r="HS18" s="1"/>
      <c r="HT18" s="309"/>
      <c r="HU18" s="1"/>
      <c r="HV18" s="1"/>
      <c r="HW18" s="1"/>
      <c r="HX18" s="309"/>
      <c r="HY18" s="1"/>
      <c r="HZ18" s="1"/>
      <c r="IA18" s="1"/>
      <c r="IB18" s="1"/>
      <c r="IC18" s="1"/>
      <c r="ID18" s="1"/>
      <c r="IE18" s="1"/>
      <c r="IF18" s="1"/>
      <c r="IG18" s="1"/>
      <c r="IH18" s="1"/>
      <c r="II18" s="1"/>
      <c r="IJ18" s="1"/>
      <c r="IK18" s="1"/>
      <c r="IL18" s="1"/>
      <c r="IM18" s="1"/>
      <c r="IN18" s="1"/>
      <c r="IO18" s="1"/>
      <c r="IP18" s="1"/>
      <c r="IQ18" s="1"/>
      <c r="IR18" s="1"/>
      <c r="IS18" s="1"/>
      <c r="IT18" s="1"/>
      <c r="IU18" s="1"/>
      <c r="IV18" s="1"/>
      <c r="IW18" s="1"/>
      <c r="IX18" s="1"/>
      <c r="IY18" s="1"/>
      <c r="IZ18" s="1"/>
      <c r="JA18" s="1"/>
      <c r="JB18" s="1"/>
      <c r="JC18" s="1"/>
      <c r="JD18" s="1"/>
      <c r="JE18" s="1"/>
      <c r="JF18" s="1"/>
      <c r="JG18" s="1"/>
      <c r="JH18" s="1"/>
      <c r="JI18" s="1"/>
      <c r="JJ18" s="1"/>
      <c r="JK18" s="1"/>
      <c r="JL18" s="1"/>
      <c r="JM18" s="1"/>
      <c r="JN18" s="1"/>
      <c r="JO18" s="1"/>
      <c r="JP18" s="1"/>
      <c r="JQ18" s="1"/>
      <c r="JR18" s="1"/>
      <c r="JS18" s="1"/>
      <c r="JT18" s="1"/>
      <c r="JU18" s="1"/>
      <c r="JV18" s="1"/>
      <c r="JW18" s="1"/>
      <c r="JX18" s="1"/>
      <c r="JY18" s="1"/>
      <c r="JZ18" s="1"/>
      <c r="KA18" s="1"/>
      <c r="KB18" s="1"/>
      <c r="KC18" s="1"/>
      <c r="KD18" s="1"/>
      <c r="KE18" s="1"/>
      <c r="KF18" s="1"/>
      <c r="KG18" s="1"/>
      <c r="KH18" s="1"/>
      <c r="KI18" s="1"/>
      <c r="KJ18" s="1"/>
      <c r="KK18" s="1"/>
      <c r="KL18" s="1"/>
      <c r="KM18" s="1"/>
      <c r="KN18" s="1"/>
      <c r="KO18" s="1"/>
      <c r="KP18" s="1"/>
      <c r="KQ18" s="1"/>
      <c r="KR18" s="1"/>
      <c r="KS18" s="1"/>
      <c r="KT18" s="1"/>
      <c r="KU18" s="1"/>
      <c r="KV18" s="1"/>
      <c r="KW18" s="1"/>
      <c r="KX18" s="1"/>
      <c r="KY18" s="1"/>
      <c r="KZ18" s="1"/>
      <c r="LA18" s="1"/>
      <c r="LB18" s="1"/>
      <c r="LC18" s="1"/>
      <c r="LD18" s="1"/>
      <c r="LE18" s="1"/>
      <c r="LF18" s="1"/>
      <c r="LG18" s="1"/>
      <c r="LH18" s="1"/>
      <c r="LI18" s="1"/>
      <c r="LJ18" s="1"/>
      <c r="LK18" s="1"/>
      <c r="LL18" s="1"/>
      <c r="LM18" s="1"/>
      <c r="LN18" s="1"/>
      <c r="LO18" s="1"/>
      <c r="LP18" s="1"/>
      <c r="LQ18" s="1"/>
      <c r="LR18" s="1"/>
      <c r="LS18" s="1"/>
      <c r="LT18" s="1"/>
      <c r="LU18" s="1"/>
      <c r="LV18" s="1"/>
      <c r="LW18" s="1"/>
      <c r="LX18" s="1"/>
      <c r="LY18" s="1"/>
      <c r="LZ18" s="1"/>
      <c r="MA18" s="1"/>
      <c r="MB18" s="1"/>
      <c r="MC18" s="1"/>
      <c r="MD18" s="1"/>
      <c r="ME18" s="1"/>
      <c r="MF18" s="1"/>
      <c r="MG18" s="1"/>
      <c r="MH18" s="1"/>
      <c r="MI18" s="1"/>
      <c r="MJ18" s="1"/>
      <c r="MK18" s="1"/>
      <c r="ML18" s="1"/>
      <c r="MM18" s="1"/>
      <c r="MN18" s="1"/>
      <c r="MO18" s="1"/>
      <c r="MP18" s="1"/>
      <c r="MQ18" s="1"/>
      <c r="MR18" s="1"/>
      <c r="MS18" s="1"/>
      <c r="MT18" s="1"/>
      <c r="MU18" s="1"/>
      <c r="MV18" s="1"/>
      <c r="MW18" s="1"/>
      <c r="MX18" s="1"/>
      <c r="MY18" s="1"/>
      <c r="MZ18" s="1"/>
      <c r="NA18" s="1"/>
      <c r="NB18" s="1"/>
      <c r="NC18" s="1"/>
      <c r="ND18" s="1"/>
      <c r="NE18" s="1"/>
      <c r="NF18" s="1"/>
      <c r="NG18" s="1"/>
      <c r="NH18" s="1"/>
      <c r="NI18" s="1"/>
      <c r="NJ18" s="1"/>
      <c r="NK18" s="1"/>
      <c r="NL18" s="1"/>
      <c r="NM18" s="1"/>
      <c r="NN18" s="1"/>
      <c r="NO18" s="1"/>
      <c r="NP18" s="1"/>
      <c r="NQ18" s="1"/>
      <c r="NR18" s="1"/>
      <c r="NS18" s="1"/>
      <c r="NT18" s="1"/>
      <c r="NU18" s="1"/>
      <c r="NV18" s="1"/>
      <c r="NW18" s="1"/>
      <c r="NX18" s="1"/>
      <c r="NY18" s="1"/>
      <c r="NZ18" s="1"/>
      <c r="OA18" s="1"/>
      <c r="OB18" s="1"/>
      <c r="OC18" s="1"/>
      <c r="OD18" s="1"/>
      <c r="OE18" s="1"/>
      <c r="OF18" s="1"/>
      <c r="OG18" s="1"/>
      <c r="OH18" s="1"/>
      <c r="OI18" s="1"/>
      <c r="OJ18" s="1"/>
      <c r="OK18" s="1"/>
      <c r="OL18" s="1"/>
      <c r="OM18" s="1"/>
      <c r="ON18" s="1"/>
      <c r="OO18" s="1"/>
      <c r="OP18" s="1"/>
      <c r="OQ18" s="1"/>
      <c r="OR18" s="1"/>
      <c r="OS18" s="1"/>
      <c r="OT18" s="1"/>
      <c r="OU18" s="1"/>
      <c r="OV18" s="1"/>
      <c r="OW18" s="1"/>
      <c r="OX18" s="1"/>
      <c r="OY18" s="1"/>
      <c r="OZ18" s="1"/>
      <c r="PA18" s="1"/>
      <c r="PB18" s="1"/>
      <c r="PC18" s="1"/>
      <c r="PD18" s="1"/>
      <c r="PE18" s="1"/>
      <c r="PF18" s="1"/>
      <c r="PG18" s="1"/>
      <c r="PH18" s="1"/>
      <c r="PI18" s="1"/>
      <c r="PJ18" s="1"/>
      <c r="PK18" s="1"/>
      <c r="PL18" s="1"/>
      <c r="PM18" s="1"/>
      <c r="PN18" s="1"/>
      <c r="PO18" s="1"/>
      <c r="PP18" s="1"/>
      <c r="PQ18" s="1"/>
      <c r="PR18" s="1"/>
      <c r="PS18" s="1"/>
      <c r="PT18" s="1"/>
      <c r="PU18" s="1"/>
      <c r="PV18" s="1"/>
      <c r="PW18" s="1"/>
      <c r="PX18" s="1"/>
      <c r="PY18" s="1"/>
      <c r="PZ18" s="1"/>
      <c r="QA18" s="1"/>
      <c r="QB18" s="1"/>
      <c r="QC18" s="1"/>
      <c r="QD18" s="1"/>
      <c r="QE18" s="1"/>
      <c r="QF18" s="1"/>
      <c r="QG18" s="1"/>
      <c r="QH18" s="1"/>
      <c r="QI18" s="1"/>
      <c r="QJ18" s="1"/>
      <c r="QK18" s="1"/>
      <c r="QL18" s="1"/>
      <c r="QM18" s="1"/>
      <c r="QN18" s="1"/>
      <c r="QO18" s="1"/>
      <c r="QP18" s="1"/>
      <c r="QQ18" s="1"/>
      <c r="QR18" s="1"/>
      <c r="QS18" s="1"/>
      <c r="QT18" s="1"/>
      <c r="QU18" s="1"/>
      <c r="QV18" s="1"/>
      <c r="QW18" s="1"/>
      <c r="QX18" s="1"/>
      <c r="QY18" s="1"/>
      <c r="QZ18" s="1"/>
      <c r="RA18" s="1"/>
      <c r="RB18" s="1"/>
      <c r="RC18" s="1"/>
      <c r="RD18" s="1"/>
      <c r="RE18" s="1"/>
      <c r="RF18" s="1"/>
      <c r="RG18" s="1"/>
      <c r="RH18" s="1"/>
      <c r="RI18" s="1"/>
      <c r="RJ18" s="1"/>
      <c r="RK18" s="1"/>
      <c r="RL18" s="1"/>
      <c r="RM18" s="1"/>
      <c r="RN18" s="1"/>
      <c r="RO18" s="1"/>
      <c r="RP18" s="1"/>
      <c r="RQ18" s="1"/>
      <c r="RR18" s="1"/>
      <c r="RS18" s="1"/>
      <c r="RT18" s="1"/>
      <c r="RU18" s="1"/>
      <c r="RV18" s="1"/>
      <c r="RW18" s="1"/>
      <c r="RX18" s="1"/>
      <c r="RY18" s="1"/>
      <c r="RZ18" s="1"/>
      <c r="SA18" s="1"/>
      <c r="SB18" s="1"/>
      <c r="SC18" s="1"/>
      <c r="SD18" s="1"/>
      <c r="SE18" s="1"/>
      <c r="SF18" s="1"/>
      <c r="SG18" s="1"/>
      <c r="SH18" s="1"/>
      <c r="SI18" s="1"/>
      <c r="SJ18" s="1"/>
      <c r="SK18" s="1"/>
      <c r="SL18" s="1"/>
      <c r="SM18" s="1"/>
      <c r="SN18" s="1"/>
      <c r="SO18" s="1"/>
      <c r="SP18" s="1"/>
      <c r="SQ18" s="1"/>
      <c r="SR18" s="1"/>
      <c r="SS18" s="1"/>
      <c r="ST18" s="1"/>
      <c r="SU18" s="1"/>
      <c r="SV18" s="1"/>
      <c r="SW18" s="1"/>
      <c r="SX18" s="1"/>
      <c r="SY18" s="1"/>
      <c r="SZ18" s="1"/>
      <c r="TA18" s="1"/>
      <c r="TB18" s="1"/>
      <c r="TC18" s="1"/>
      <c r="TD18" s="1"/>
      <c r="TE18" s="1"/>
      <c r="TF18" s="1"/>
      <c r="TG18" s="1"/>
      <c r="TH18" s="1"/>
      <c r="TI18" s="1"/>
      <c r="TJ18" s="1"/>
      <c r="TK18" s="1"/>
      <c r="TL18" s="1"/>
      <c r="TM18" s="1"/>
      <c r="TN18" s="1"/>
      <c r="TO18" s="1"/>
      <c r="TP18" s="1"/>
      <c r="TQ18" s="1"/>
      <c r="TR18" s="1"/>
      <c r="TS18" s="1"/>
      <c r="TT18" s="1"/>
      <c r="TU18" s="1"/>
      <c r="TV18" s="1"/>
      <c r="TW18" s="1"/>
      <c r="TX18" s="1"/>
      <c r="TY18" s="1"/>
      <c r="TZ18" s="1"/>
      <c r="UA18" s="1"/>
      <c r="UB18" s="1"/>
      <c r="UC18" s="1"/>
      <c r="UD18" s="1"/>
      <c r="UE18" s="1"/>
      <c r="UF18" s="1"/>
      <c r="UG18" s="1"/>
      <c r="UH18" s="1"/>
      <c r="UI18" s="1"/>
      <c r="UJ18" s="1"/>
      <c r="UK18" s="1"/>
      <c r="UL18" s="1"/>
      <c r="UM18" s="1"/>
      <c r="UN18" s="1"/>
      <c r="UO18" s="1"/>
      <c r="UP18" s="1"/>
      <c r="UQ18" s="1"/>
      <c r="UR18" s="1"/>
      <c r="US18" s="1"/>
      <c r="UT18" s="1"/>
      <c r="UU18" s="1"/>
      <c r="UV18" s="1"/>
      <c r="UW18" s="1"/>
      <c r="UX18" s="1"/>
      <c r="UY18" s="1"/>
      <c r="UZ18" s="1"/>
      <c r="VA18" s="1"/>
      <c r="VB18" s="1"/>
      <c r="VC18" s="1"/>
      <c r="VD18" s="1"/>
      <c r="VE18" s="1"/>
      <c r="VF18" s="1"/>
      <c r="VG18" s="1"/>
      <c r="VH18" s="1"/>
      <c r="VI18" s="1"/>
      <c r="VJ18" s="1"/>
      <c r="VK18" s="1"/>
      <c r="VL18" s="1"/>
      <c r="VM18" s="1"/>
      <c r="VN18" s="1"/>
      <c r="VO18" s="1"/>
      <c r="VP18" s="1"/>
      <c r="VQ18" s="1"/>
      <c r="VR18" s="1"/>
      <c r="VS18" s="1"/>
      <c r="VT18" s="1"/>
      <c r="VU18" s="1"/>
      <c r="VV18" s="1"/>
      <c r="VW18" s="1"/>
      <c r="VX18" s="1"/>
      <c r="VY18" s="1"/>
      <c r="VZ18" s="1"/>
      <c r="WA18" s="1"/>
      <c r="WB18" s="1"/>
      <c r="WC18" s="1"/>
      <c r="WD18" s="1"/>
      <c r="WE18" s="1"/>
      <c r="WF18" s="1"/>
      <c r="WG18" s="1"/>
      <c r="WH18" s="1"/>
      <c r="WI18" s="1"/>
      <c r="WJ18" s="1"/>
      <c r="WK18" s="1"/>
      <c r="WL18" s="1"/>
      <c r="WM18" s="1"/>
      <c r="WN18" s="1"/>
      <c r="WO18" s="1"/>
      <c r="WP18" s="1"/>
      <c r="WQ18" s="1"/>
      <c r="WR18" s="1"/>
      <c r="WS18" s="1"/>
      <c r="WT18" s="1"/>
      <c r="WU18" s="1"/>
      <c r="WV18" s="1"/>
      <c r="WW18" s="1"/>
      <c r="WX18" s="309"/>
      <c r="WY18" s="1"/>
      <c r="WZ18" s="1"/>
      <c r="XA18" s="1"/>
      <c r="XB18" s="309"/>
      <c r="XC18" s="1"/>
      <c r="XD18" s="88"/>
      <c r="XE18" s="109"/>
    </row>
    <row r="19" spans="1:629" s="2" customFormat="1" ht="31.2" thickBot="1" x14ac:dyDescent="0.35">
      <c r="A19" s="1"/>
      <c r="B19" s="317"/>
      <c r="C19" s="405" t="s">
        <v>353</v>
      </c>
      <c r="D19" s="405"/>
      <c r="E19" s="1"/>
      <c r="F19" s="1"/>
      <c r="G19" s="313" t="s">
        <v>344</v>
      </c>
      <c r="H19" s="314"/>
      <c r="DL19" s="305"/>
      <c r="DM19" s="305"/>
      <c r="DP19" s="315"/>
      <c r="DQ19" s="315"/>
      <c r="DR19" s="315"/>
      <c r="DS19" s="315"/>
      <c r="FS19" s="316"/>
      <c r="FT19" s="316"/>
      <c r="GH19" s="316"/>
      <c r="GI19" s="316"/>
      <c r="GS19" s="5"/>
      <c r="GT19" s="1"/>
      <c r="GU19" s="1"/>
      <c r="GV19" s="1"/>
      <c r="GW19" s="1"/>
      <c r="GX19" s="1"/>
      <c r="GY19" s="1"/>
      <c r="GZ19" s="1"/>
      <c r="HA19" s="1"/>
      <c r="HB19" s="1"/>
      <c r="HC19" s="1"/>
      <c r="HD19" s="1"/>
      <c r="HF19" s="1"/>
      <c r="HG19" s="1"/>
      <c r="HH19" s="309"/>
      <c r="HI19" s="1"/>
      <c r="HJ19" s="309"/>
      <c r="HK19" s="1"/>
      <c r="HL19" s="1"/>
      <c r="HM19" s="309"/>
      <c r="HN19" s="1"/>
      <c r="HO19" s="309"/>
      <c r="HP19" s="1"/>
      <c r="HQ19" s="1"/>
      <c r="HR19" s="309"/>
      <c r="HS19" s="1"/>
      <c r="HT19" s="309"/>
      <c r="HU19" s="1"/>
      <c r="HV19" s="1"/>
      <c r="HW19" s="1"/>
      <c r="HX19" s="309"/>
      <c r="HY19" s="1"/>
      <c r="HZ19" s="1"/>
      <c r="IA19" s="1"/>
      <c r="IB19" s="1"/>
      <c r="IC19" s="1"/>
      <c r="ID19" s="1"/>
      <c r="IE19" s="1"/>
      <c r="IF19" s="1"/>
      <c r="IG19" s="1"/>
      <c r="IH19" s="1"/>
      <c r="II19" s="1"/>
      <c r="IJ19" s="1"/>
      <c r="IK19" s="1"/>
      <c r="IL19" s="1"/>
      <c r="IM19" s="1"/>
      <c r="IN19" s="1"/>
      <c r="IO19" s="1"/>
      <c r="IP19" s="1"/>
      <c r="IQ19" s="1"/>
      <c r="IR19" s="1"/>
      <c r="IS19" s="1"/>
      <c r="IT19" s="1"/>
      <c r="IU19" s="1"/>
      <c r="IV19" s="1"/>
      <c r="IW19" s="1"/>
      <c r="IX19" s="1"/>
      <c r="IY19" s="1"/>
      <c r="IZ19" s="1"/>
      <c r="JA19" s="1"/>
      <c r="JB19" s="1"/>
      <c r="JC19" s="1"/>
      <c r="JD19" s="1"/>
      <c r="JE19" s="1"/>
      <c r="JF19" s="1"/>
      <c r="JG19" s="1"/>
      <c r="JH19" s="1"/>
      <c r="JI19" s="1"/>
      <c r="JJ19" s="1"/>
      <c r="JK19" s="1"/>
      <c r="JL19" s="1"/>
      <c r="JM19" s="1"/>
      <c r="JN19" s="1"/>
      <c r="JO19" s="1"/>
      <c r="JP19" s="1"/>
      <c r="JQ19" s="1"/>
      <c r="JR19" s="1"/>
      <c r="JS19" s="1"/>
      <c r="JT19" s="1"/>
      <c r="JU19" s="1"/>
      <c r="JV19" s="1"/>
      <c r="JW19" s="1"/>
      <c r="JX19" s="1"/>
      <c r="JY19" s="1"/>
      <c r="JZ19" s="1"/>
      <c r="KA19" s="1"/>
      <c r="KB19" s="1"/>
      <c r="KC19" s="1"/>
      <c r="KD19" s="1"/>
      <c r="KE19" s="1"/>
      <c r="KF19" s="1"/>
      <c r="KG19" s="1"/>
      <c r="KH19" s="1"/>
      <c r="KI19" s="1"/>
      <c r="KJ19" s="1"/>
      <c r="KK19" s="1"/>
      <c r="KL19" s="1"/>
      <c r="KM19" s="1"/>
      <c r="KN19" s="1"/>
      <c r="KO19" s="1"/>
      <c r="KP19" s="1"/>
      <c r="KQ19" s="1"/>
      <c r="KR19" s="1"/>
      <c r="KS19" s="1"/>
      <c r="KT19" s="1"/>
      <c r="KU19" s="1"/>
      <c r="KV19" s="1"/>
      <c r="KW19" s="1"/>
      <c r="KX19" s="1"/>
      <c r="KY19" s="1"/>
      <c r="KZ19" s="1"/>
      <c r="LA19" s="1"/>
      <c r="LB19" s="1"/>
      <c r="LC19" s="1"/>
      <c r="LD19" s="1"/>
      <c r="LE19" s="1"/>
      <c r="LF19" s="1"/>
      <c r="LG19" s="1"/>
      <c r="LH19" s="1"/>
      <c r="LI19" s="1"/>
      <c r="LJ19" s="1"/>
      <c r="LK19" s="1"/>
      <c r="LL19" s="1"/>
      <c r="LM19" s="1"/>
      <c r="LN19" s="1"/>
      <c r="LO19" s="1"/>
      <c r="LP19" s="1"/>
      <c r="LQ19" s="1"/>
      <c r="LR19" s="1"/>
      <c r="LS19" s="1"/>
      <c r="LT19" s="1"/>
      <c r="LU19" s="1"/>
      <c r="LV19" s="1"/>
      <c r="LW19" s="1"/>
      <c r="LX19" s="1"/>
      <c r="LY19" s="1"/>
      <c r="LZ19" s="1"/>
      <c r="MA19" s="1"/>
      <c r="MB19" s="1"/>
      <c r="MC19" s="1"/>
      <c r="MD19" s="1"/>
      <c r="ME19" s="1"/>
      <c r="MF19" s="1"/>
      <c r="MG19" s="1"/>
      <c r="MH19" s="1"/>
      <c r="MI19" s="1"/>
      <c r="MJ19" s="1"/>
      <c r="MK19" s="1"/>
      <c r="ML19" s="1"/>
      <c r="MM19" s="1"/>
      <c r="MN19" s="1"/>
      <c r="MO19" s="1"/>
      <c r="MP19" s="1"/>
      <c r="MQ19" s="1"/>
      <c r="MR19" s="1"/>
      <c r="MS19" s="1"/>
      <c r="MT19" s="1"/>
      <c r="MU19" s="1"/>
      <c r="MV19" s="1"/>
      <c r="MW19" s="1"/>
      <c r="MX19" s="1"/>
      <c r="MY19" s="1"/>
      <c r="MZ19" s="1"/>
      <c r="NA19" s="1"/>
      <c r="NB19" s="1"/>
      <c r="NC19" s="1"/>
      <c r="ND19" s="1"/>
      <c r="NE19" s="1"/>
      <c r="NF19" s="1"/>
      <c r="NG19" s="1"/>
      <c r="NH19" s="1"/>
      <c r="NI19" s="1"/>
      <c r="NJ19" s="1"/>
      <c r="NK19" s="1"/>
      <c r="NL19" s="1"/>
      <c r="NM19" s="1"/>
      <c r="NN19" s="1"/>
      <c r="NO19" s="1"/>
      <c r="NP19" s="1"/>
      <c r="NQ19" s="1"/>
      <c r="NR19" s="1"/>
      <c r="NS19" s="1"/>
      <c r="NT19" s="1"/>
      <c r="NU19" s="1"/>
      <c r="NV19" s="1"/>
      <c r="NW19" s="1"/>
      <c r="NX19" s="1"/>
      <c r="NY19" s="1"/>
      <c r="NZ19" s="1"/>
      <c r="OA19" s="1"/>
      <c r="OB19" s="1"/>
      <c r="OC19" s="1"/>
      <c r="OD19" s="1"/>
      <c r="OE19" s="1"/>
      <c r="OF19" s="1"/>
      <c r="OG19" s="1"/>
      <c r="OH19" s="1"/>
      <c r="OI19" s="1"/>
      <c r="OJ19" s="1"/>
      <c r="OK19" s="1"/>
      <c r="OL19" s="1"/>
      <c r="OM19" s="1"/>
      <c r="ON19" s="1"/>
      <c r="OO19" s="1"/>
      <c r="OP19" s="1"/>
      <c r="OQ19" s="1"/>
      <c r="OR19" s="1"/>
      <c r="OS19" s="1"/>
      <c r="OT19" s="1"/>
      <c r="OU19" s="1"/>
      <c r="OV19" s="1"/>
      <c r="OW19" s="1"/>
      <c r="OX19" s="1"/>
      <c r="OY19" s="1"/>
      <c r="OZ19" s="1"/>
      <c r="PA19" s="1"/>
      <c r="PB19" s="1"/>
      <c r="PC19" s="1"/>
      <c r="PD19" s="1"/>
      <c r="PE19" s="1"/>
      <c r="PF19" s="1"/>
      <c r="PG19" s="1"/>
      <c r="PH19" s="1"/>
      <c r="PI19" s="1"/>
      <c r="PJ19" s="1"/>
      <c r="PK19" s="1"/>
      <c r="PL19" s="1"/>
      <c r="PM19" s="1"/>
      <c r="PN19" s="1"/>
      <c r="PO19" s="1"/>
      <c r="PP19" s="1"/>
      <c r="PQ19" s="1"/>
      <c r="PR19" s="1"/>
      <c r="PS19" s="1"/>
      <c r="PT19" s="1"/>
      <c r="PU19" s="1"/>
      <c r="PV19" s="1"/>
      <c r="PW19" s="1"/>
      <c r="PX19" s="1"/>
      <c r="PY19" s="1"/>
      <c r="PZ19" s="1"/>
      <c r="QA19" s="1"/>
      <c r="QB19" s="1"/>
      <c r="QC19" s="1"/>
      <c r="QD19" s="1"/>
      <c r="QE19" s="1"/>
      <c r="QF19" s="1"/>
      <c r="QG19" s="1"/>
      <c r="QH19" s="1"/>
      <c r="QI19" s="1"/>
      <c r="QJ19" s="1"/>
      <c r="QK19" s="1"/>
      <c r="QL19" s="1"/>
      <c r="QM19" s="1"/>
      <c r="QN19" s="1"/>
      <c r="QO19" s="1"/>
      <c r="QP19" s="1"/>
      <c r="QQ19" s="1"/>
      <c r="QR19" s="1"/>
      <c r="QS19" s="1"/>
      <c r="QT19" s="1"/>
      <c r="QU19" s="1"/>
      <c r="QV19" s="1"/>
      <c r="QW19" s="1"/>
      <c r="QX19" s="1"/>
      <c r="QY19" s="1"/>
      <c r="QZ19" s="1"/>
      <c r="RA19" s="1"/>
      <c r="RB19" s="1"/>
      <c r="RC19" s="1"/>
      <c r="RD19" s="1"/>
      <c r="RE19" s="1"/>
      <c r="RF19" s="1"/>
      <c r="RG19" s="1"/>
      <c r="RH19" s="1"/>
      <c r="RI19" s="1"/>
      <c r="RJ19" s="1"/>
      <c r="RK19" s="1"/>
      <c r="RL19" s="1"/>
      <c r="RM19" s="1"/>
      <c r="RN19" s="1"/>
      <c r="RO19" s="1"/>
      <c r="RP19" s="1"/>
      <c r="RQ19" s="1"/>
      <c r="RR19" s="1"/>
      <c r="RS19" s="1"/>
      <c r="RT19" s="1"/>
      <c r="RU19" s="1"/>
      <c r="RV19" s="1"/>
      <c r="RW19" s="1"/>
      <c r="RX19" s="1"/>
      <c r="RY19" s="1"/>
      <c r="RZ19" s="1"/>
      <c r="SA19" s="1"/>
      <c r="SB19" s="1"/>
      <c r="SC19" s="1"/>
      <c r="SD19" s="1"/>
      <c r="SE19" s="1"/>
      <c r="SF19" s="1"/>
      <c r="SG19" s="1"/>
      <c r="SH19" s="1"/>
      <c r="SI19" s="1"/>
      <c r="SJ19" s="1"/>
      <c r="SK19" s="1"/>
      <c r="SL19" s="1"/>
      <c r="SM19" s="1"/>
      <c r="SN19" s="1"/>
      <c r="SO19" s="1"/>
      <c r="SP19" s="1"/>
      <c r="SQ19" s="1"/>
      <c r="SR19" s="1"/>
      <c r="SS19" s="1"/>
      <c r="ST19" s="1"/>
      <c r="SU19" s="1"/>
      <c r="SV19" s="1"/>
      <c r="SW19" s="1"/>
      <c r="SX19" s="1"/>
      <c r="SY19" s="1"/>
      <c r="SZ19" s="1"/>
      <c r="TA19" s="1"/>
      <c r="TB19" s="1"/>
      <c r="TC19" s="1"/>
      <c r="TD19" s="1"/>
      <c r="TE19" s="1"/>
      <c r="TF19" s="1"/>
      <c r="TG19" s="1"/>
      <c r="TH19" s="1"/>
      <c r="TI19" s="1"/>
      <c r="TJ19" s="1"/>
      <c r="TK19" s="1"/>
      <c r="TL19" s="1"/>
      <c r="TM19" s="1"/>
      <c r="TN19" s="1"/>
      <c r="TO19" s="1"/>
      <c r="TP19" s="1"/>
      <c r="TQ19" s="1"/>
      <c r="TR19" s="1"/>
      <c r="TS19" s="1"/>
      <c r="TT19" s="1"/>
      <c r="TU19" s="1"/>
      <c r="TV19" s="1"/>
      <c r="TW19" s="1"/>
      <c r="TX19" s="1"/>
      <c r="TY19" s="1"/>
      <c r="TZ19" s="1"/>
      <c r="UA19" s="1"/>
      <c r="UB19" s="1"/>
      <c r="UC19" s="1"/>
      <c r="UD19" s="1"/>
      <c r="UE19" s="1"/>
      <c r="UF19" s="1"/>
      <c r="UG19" s="1"/>
      <c r="UH19" s="1"/>
      <c r="UI19" s="1"/>
      <c r="UJ19" s="1"/>
      <c r="UK19" s="1"/>
      <c r="UL19" s="1"/>
      <c r="UM19" s="1"/>
      <c r="UN19" s="1"/>
      <c r="UO19" s="1"/>
      <c r="UP19" s="1"/>
      <c r="UQ19" s="1"/>
      <c r="UR19" s="1"/>
      <c r="US19" s="1"/>
      <c r="UT19" s="1"/>
      <c r="UU19" s="1"/>
      <c r="UV19" s="1"/>
      <c r="UW19" s="1"/>
      <c r="UX19" s="1"/>
      <c r="UY19" s="1"/>
      <c r="UZ19" s="1"/>
      <c r="VA19" s="1"/>
      <c r="VB19" s="1"/>
      <c r="VC19" s="1"/>
      <c r="VD19" s="1"/>
      <c r="VE19" s="1"/>
      <c r="VF19" s="1"/>
      <c r="VG19" s="1"/>
      <c r="VH19" s="1"/>
      <c r="VI19" s="1"/>
      <c r="VJ19" s="1"/>
      <c r="VK19" s="1"/>
      <c r="VL19" s="1"/>
      <c r="VM19" s="1"/>
      <c r="VN19" s="1"/>
      <c r="VO19" s="1"/>
      <c r="VP19" s="1"/>
      <c r="VQ19" s="1"/>
      <c r="VR19" s="1"/>
      <c r="VS19" s="1"/>
      <c r="VT19" s="1"/>
      <c r="VU19" s="1"/>
      <c r="VV19" s="1"/>
      <c r="VW19" s="1"/>
      <c r="VX19" s="1"/>
      <c r="VY19" s="1"/>
      <c r="VZ19" s="1"/>
      <c r="WA19" s="1"/>
      <c r="WB19" s="1"/>
      <c r="WC19" s="1"/>
      <c r="WD19" s="1"/>
      <c r="WE19" s="1"/>
      <c r="WF19" s="1"/>
      <c r="WG19" s="1"/>
      <c r="WH19" s="1"/>
      <c r="WI19" s="1"/>
      <c r="WJ19" s="1"/>
      <c r="WK19" s="1"/>
      <c r="WL19" s="1"/>
      <c r="WM19" s="1"/>
      <c r="WN19" s="1"/>
      <c r="WO19" s="1"/>
      <c r="WP19" s="1"/>
      <c r="WQ19" s="1"/>
      <c r="WR19" s="1"/>
      <c r="WS19" s="1"/>
      <c r="WT19" s="1"/>
      <c r="WU19" s="1"/>
      <c r="WV19" s="1"/>
      <c r="WW19" s="1"/>
      <c r="WX19" s="309"/>
      <c r="WY19" s="1"/>
      <c r="WZ19" s="1"/>
      <c r="XA19" s="1"/>
      <c r="XB19" s="309"/>
      <c r="XC19" s="1"/>
      <c r="XD19" s="232"/>
    </row>
    <row r="20" spans="1:629" ht="30.6" x14ac:dyDescent="0.3">
      <c r="B20" s="318"/>
      <c r="C20" s="405" t="s">
        <v>356</v>
      </c>
      <c r="D20" s="405"/>
      <c r="G20" s="313" t="s">
        <v>344</v>
      </c>
      <c r="H20" s="314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V20" s="2"/>
      <c r="W20" s="2"/>
      <c r="X20" s="2"/>
      <c r="Y20" s="2"/>
      <c r="Z20" s="2"/>
      <c r="AA20" s="2"/>
      <c r="AB20" s="2"/>
      <c r="AC20" s="2"/>
      <c r="AD20" s="2"/>
      <c r="AE20" s="2"/>
      <c r="AF20" s="2"/>
      <c r="AG20" s="2"/>
      <c r="AH20" s="2"/>
      <c r="AI20" s="2"/>
      <c r="AJ20" s="2"/>
      <c r="AK20" s="2"/>
      <c r="AL20" s="2"/>
      <c r="AM20" s="2"/>
      <c r="AN20" s="2"/>
      <c r="AO20" s="2"/>
      <c r="AP20" s="2"/>
      <c r="AQ20" s="2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  <c r="BD20" s="2"/>
      <c r="BE20" s="2"/>
      <c r="BF20" s="2"/>
      <c r="BG20" s="2"/>
      <c r="BH20" s="2"/>
      <c r="BI20" s="2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2"/>
      <c r="CE20" s="2"/>
      <c r="CF20" s="2"/>
      <c r="CG20" s="2"/>
      <c r="CH20" s="2"/>
      <c r="CI20" s="2"/>
      <c r="CJ20" s="2"/>
      <c r="CK20" s="2"/>
      <c r="CL20" s="2"/>
      <c r="CM20" s="2"/>
      <c r="CN20" s="2"/>
      <c r="CO20" s="2"/>
      <c r="CP20" s="2"/>
      <c r="CQ20" s="2"/>
      <c r="CR20" s="2"/>
      <c r="CS20" s="2"/>
      <c r="CT20" s="2"/>
      <c r="CU20" s="2"/>
      <c r="CV20" s="2"/>
      <c r="CW20" s="2"/>
      <c r="CX20" s="2"/>
      <c r="CY20" s="2"/>
      <c r="CZ20" s="2"/>
      <c r="DA20" s="2"/>
      <c r="DB20" s="2"/>
      <c r="DC20" s="2"/>
      <c r="DD20" s="2"/>
      <c r="DE20" s="2"/>
      <c r="DF20" s="2"/>
      <c r="DG20" s="2"/>
      <c r="DH20" s="2"/>
      <c r="DI20" s="2"/>
      <c r="DJ20" s="2"/>
      <c r="DK20" s="2"/>
      <c r="DL20" s="305"/>
      <c r="DM20" s="305"/>
      <c r="DN20" s="2"/>
      <c r="DO20" s="2"/>
      <c r="DP20" s="315"/>
      <c r="DQ20" s="315"/>
      <c r="DR20" s="315"/>
      <c r="DS20" s="315"/>
      <c r="DT20" s="2"/>
      <c r="DU20" s="2"/>
      <c r="DV20" s="2"/>
      <c r="DW20" s="2"/>
      <c r="DX20" s="2"/>
      <c r="DY20" s="2"/>
      <c r="DZ20" s="2"/>
      <c r="EA20" s="2"/>
      <c r="EB20" s="2"/>
      <c r="EC20" s="2"/>
      <c r="ED20" s="2"/>
      <c r="EE20" s="2"/>
      <c r="EF20" s="2"/>
      <c r="EG20" s="2"/>
      <c r="EH20" s="2"/>
      <c r="EI20" s="2"/>
      <c r="EJ20" s="2"/>
      <c r="EK20" s="2"/>
      <c r="EL20" s="2"/>
      <c r="EM20" s="2"/>
      <c r="EN20" s="2"/>
      <c r="EO20" s="2"/>
      <c r="EP20" s="2"/>
      <c r="EQ20" s="2"/>
      <c r="ER20" s="2"/>
      <c r="ES20" s="2"/>
      <c r="ET20" s="2"/>
      <c r="EU20" s="2"/>
      <c r="EV20" s="2"/>
      <c r="EW20" s="2"/>
      <c r="EX20" s="2"/>
      <c r="EY20" s="2"/>
      <c r="EZ20" s="2"/>
      <c r="FA20" s="2"/>
      <c r="FB20" s="2"/>
      <c r="FC20" s="2"/>
      <c r="FD20" s="2"/>
      <c r="FE20" s="2"/>
      <c r="FF20" s="2"/>
      <c r="FG20" s="2"/>
      <c r="FH20" s="2"/>
      <c r="FI20" s="2"/>
      <c r="FJ20" s="2"/>
      <c r="FK20" s="2"/>
      <c r="FL20" s="2"/>
      <c r="FM20" s="2"/>
      <c r="FN20" s="2"/>
      <c r="FO20" s="2"/>
      <c r="FP20" s="2"/>
      <c r="FQ20" s="2"/>
      <c r="FR20" s="2"/>
      <c r="FS20" s="316"/>
      <c r="FT20" s="316"/>
      <c r="FU20" s="2"/>
      <c r="FV20" s="2"/>
      <c r="FW20" s="2"/>
      <c r="FX20" s="2"/>
      <c r="FY20" s="2"/>
      <c r="FZ20" s="2"/>
      <c r="GA20" s="2"/>
      <c r="GB20" s="2"/>
      <c r="GC20" s="2"/>
      <c r="GD20" s="2"/>
      <c r="GE20" s="2"/>
      <c r="GF20" s="2"/>
      <c r="GG20" s="2"/>
      <c r="GH20" s="316"/>
      <c r="GI20" s="316"/>
      <c r="GJ20" s="2"/>
      <c r="GK20" s="2"/>
      <c r="GL20" s="2"/>
      <c r="GM20" s="2"/>
      <c r="GN20" s="2"/>
      <c r="GO20" s="2"/>
      <c r="GP20" s="2"/>
      <c r="GQ20" s="2"/>
      <c r="GR20" s="2"/>
      <c r="GS20" s="5"/>
      <c r="HE20" s="2"/>
      <c r="HH20" s="309"/>
      <c r="HJ20" s="309"/>
      <c r="HM20" s="309"/>
      <c r="HO20" s="309"/>
      <c r="HR20" s="309"/>
      <c r="HT20" s="309"/>
      <c r="HX20" s="309"/>
      <c r="WX20" s="309"/>
      <c r="XB20" s="309"/>
    </row>
    <row r="21" spans="1:629" ht="30.6" x14ac:dyDescent="0.3">
      <c r="B21" s="319"/>
      <c r="C21" s="405" t="s">
        <v>357</v>
      </c>
      <c r="D21" s="405"/>
      <c r="G21" s="313" t="s">
        <v>344</v>
      </c>
      <c r="H21" s="314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V21" s="2"/>
      <c r="W21" s="2"/>
      <c r="X21" s="2"/>
      <c r="Y21" s="2"/>
      <c r="Z21" s="2"/>
      <c r="AA21" s="2"/>
      <c r="AB21" s="2"/>
      <c r="AC21" s="2"/>
      <c r="AD21" s="2"/>
      <c r="AE21" s="2"/>
      <c r="AF21" s="2"/>
      <c r="AG21" s="2"/>
      <c r="AH21" s="2"/>
      <c r="AI21" s="2"/>
      <c r="AJ21" s="2"/>
      <c r="AK21" s="2"/>
      <c r="AL21" s="2"/>
      <c r="AM21" s="2"/>
      <c r="AN21" s="2"/>
      <c r="AO21" s="2"/>
      <c r="AP21" s="2"/>
      <c r="AQ21" s="2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2"/>
      <c r="CE21" s="2"/>
      <c r="CF21" s="2"/>
      <c r="CG21" s="2"/>
      <c r="CH21" s="2"/>
      <c r="CI21" s="2"/>
      <c r="CJ21" s="2"/>
      <c r="CK21" s="2"/>
      <c r="CL21" s="2"/>
      <c r="CM21" s="2"/>
      <c r="CN21" s="2"/>
      <c r="CO21" s="2"/>
      <c r="CP21" s="2"/>
      <c r="CQ21" s="2"/>
      <c r="CR21" s="2"/>
      <c r="CS21" s="2"/>
      <c r="CT21" s="2"/>
      <c r="CU21" s="2"/>
      <c r="CV21" s="2"/>
      <c r="CW21" s="2"/>
      <c r="CX21" s="2"/>
      <c r="CY21" s="2"/>
      <c r="CZ21" s="2"/>
      <c r="DA21" s="2"/>
      <c r="DB21" s="2"/>
      <c r="DC21" s="2"/>
      <c r="DD21" s="2"/>
      <c r="DE21" s="2"/>
      <c r="DF21" s="2"/>
      <c r="DG21" s="2"/>
      <c r="DH21" s="2"/>
      <c r="DI21" s="2"/>
      <c r="DJ21" s="2"/>
      <c r="DK21" s="2"/>
      <c r="DL21" s="305"/>
      <c r="DM21" s="305"/>
      <c r="DN21" s="2"/>
      <c r="DO21" s="2"/>
      <c r="DP21" s="315"/>
      <c r="DQ21" s="315"/>
      <c r="DR21" s="315"/>
      <c r="DS21" s="315"/>
      <c r="DT21" s="2"/>
      <c r="DU21" s="2"/>
      <c r="DV21" s="2"/>
      <c r="DW21" s="2"/>
      <c r="DX21" s="2"/>
      <c r="DY21" s="2"/>
      <c r="DZ21" s="2"/>
      <c r="EA21" s="2"/>
      <c r="EB21" s="2"/>
      <c r="EC21" s="2"/>
      <c r="ED21" s="2"/>
      <c r="EE21" s="2"/>
      <c r="EF21" s="2"/>
      <c r="EG21" s="2"/>
      <c r="EH21" s="2"/>
      <c r="EI21" s="2"/>
      <c r="EJ21" s="2"/>
      <c r="EK21" s="2"/>
      <c r="EL21" s="2"/>
      <c r="EM21" s="2"/>
      <c r="EN21" s="2"/>
      <c r="EO21" s="2"/>
      <c r="EP21" s="2"/>
      <c r="EQ21" s="2"/>
      <c r="ER21" s="2"/>
      <c r="ES21" s="2"/>
      <c r="ET21" s="2"/>
      <c r="EU21" s="2"/>
      <c r="EV21" s="2"/>
      <c r="EW21" s="2"/>
      <c r="EX21" s="2"/>
      <c r="EY21" s="2"/>
      <c r="EZ21" s="2"/>
      <c r="FA21" s="2"/>
      <c r="FB21" s="2"/>
      <c r="FC21" s="2"/>
      <c r="FD21" s="2"/>
      <c r="FE21" s="2"/>
      <c r="FF21" s="2"/>
      <c r="FG21" s="2"/>
      <c r="FH21" s="2"/>
      <c r="FI21" s="2"/>
      <c r="FJ21" s="2"/>
      <c r="FK21" s="2"/>
      <c r="FL21" s="2"/>
      <c r="FM21" s="2"/>
      <c r="FN21" s="2"/>
      <c r="FO21" s="2"/>
      <c r="FP21" s="2"/>
      <c r="FQ21" s="2"/>
      <c r="FR21" s="2"/>
      <c r="FS21" s="316"/>
      <c r="FT21" s="316"/>
      <c r="FU21" s="2"/>
      <c r="FV21" s="2"/>
      <c r="FW21" s="2"/>
      <c r="FX21" s="2"/>
      <c r="FY21" s="2"/>
      <c r="FZ21" s="2"/>
      <c r="GA21" s="2"/>
      <c r="GB21" s="2"/>
      <c r="GC21" s="2"/>
      <c r="GD21" s="2"/>
      <c r="GE21" s="2"/>
      <c r="GF21" s="2"/>
      <c r="GG21" s="2"/>
      <c r="GH21" s="316"/>
      <c r="GI21" s="316"/>
      <c r="GJ21" s="2"/>
      <c r="GK21" s="2"/>
      <c r="GL21" s="2"/>
      <c r="GM21" s="2"/>
      <c r="GN21" s="2"/>
      <c r="GO21" s="2"/>
      <c r="GP21" s="2"/>
      <c r="GQ21" s="2"/>
      <c r="GR21" s="2"/>
      <c r="GS21" s="5"/>
      <c r="HE21" s="2"/>
      <c r="HH21" s="309"/>
      <c r="HJ21" s="309"/>
      <c r="HM21" s="309"/>
      <c r="HO21" s="309"/>
      <c r="HR21" s="309"/>
      <c r="HT21" s="309"/>
      <c r="HX21" s="309"/>
      <c r="WX21" s="309"/>
      <c r="XB21" s="309"/>
    </row>
    <row r="22" spans="1:629" ht="30.6" x14ac:dyDescent="0.3">
      <c r="B22" s="320"/>
      <c r="C22" s="405" t="s">
        <v>354</v>
      </c>
      <c r="D22" s="405"/>
      <c r="E22" s="313"/>
      <c r="F22" s="313"/>
      <c r="G22" s="313" t="s">
        <v>345</v>
      </c>
      <c r="H22" s="314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V22" s="2"/>
      <c r="W22" s="2"/>
      <c r="X22" s="2"/>
      <c r="Y22" s="2"/>
      <c r="Z22" s="2"/>
      <c r="AA22" s="2"/>
      <c r="AB22" s="2"/>
      <c r="AC22" s="2"/>
      <c r="AD22" s="2"/>
      <c r="AE22" s="2"/>
      <c r="AF22" s="2"/>
      <c r="AG22" s="2"/>
      <c r="AH22" s="2"/>
      <c r="AI22" s="2"/>
      <c r="AJ22" s="2"/>
      <c r="AK22" s="2"/>
      <c r="AL22" s="2"/>
      <c r="AM22" s="2"/>
      <c r="AN22" s="2"/>
      <c r="AO22" s="2"/>
      <c r="AP22" s="2"/>
      <c r="AQ22" s="2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  <c r="BD22" s="2"/>
      <c r="BE22" s="2"/>
      <c r="BF22" s="2"/>
      <c r="BG22" s="2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2"/>
      <c r="CE22" s="2"/>
      <c r="CF22" s="2"/>
      <c r="CG22" s="2"/>
      <c r="CH22" s="2"/>
      <c r="CI22" s="2"/>
      <c r="CJ22" s="2"/>
      <c r="CK22" s="2"/>
      <c r="CL22" s="2"/>
      <c r="CM22" s="2"/>
      <c r="CN22" s="2"/>
      <c r="CO22" s="2"/>
      <c r="CP22" s="2"/>
      <c r="CQ22" s="2"/>
      <c r="CR22" s="2"/>
      <c r="CS22" s="2"/>
      <c r="CT22" s="2"/>
      <c r="CU22" s="2"/>
      <c r="CV22" s="2"/>
      <c r="CW22" s="2"/>
      <c r="CX22" s="2"/>
      <c r="CY22" s="2"/>
      <c r="CZ22" s="2"/>
      <c r="DA22" s="2"/>
      <c r="DB22" s="2"/>
      <c r="DC22" s="2"/>
      <c r="DD22" s="2"/>
      <c r="DE22" s="2"/>
      <c r="DF22" s="2"/>
      <c r="DG22" s="2"/>
      <c r="DH22" s="2"/>
      <c r="DI22" s="2"/>
      <c r="DJ22" s="2"/>
      <c r="DK22" s="2"/>
      <c r="DL22" s="305"/>
      <c r="DM22" s="305"/>
      <c r="DN22" s="315"/>
      <c r="DO22" s="315"/>
      <c r="DP22" s="2"/>
      <c r="DQ22" s="2"/>
      <c r="DR22" s="2"/>
      <c r="DS22" s="2"/>
      <c r="DT22" s="2"/>
      <c r="DU22" s="2"/>
      <c r="DV22" s="2"/>
      <c r="DW22" s="2"/>
      <c r="DX22" s="2"/>
      <c r="DY22" s="2"/>
      <c r="DZ22" s="2"/>
      <c r="EA22" s="2"/>
      <c r="EB22" s="2"/>
      <c r="EC22" s="2"/>
      <c r="ED22" s="2"/>
      <c r="EE22" s="2"/>
      <c r="EF22" s="2"/>
      <c r="EG22" s="2"/>
      <c r="EH22" s="2"/>
      <c r="EI22" s="2"/>
      <c r="EJ22" s="2"/>
      <c r="EK22" s="2"/>
      <c r="EL22" s="2"/>
      <c r="EM22" s="2"/>
      <c r="EN22" s="2"/>
      <c r="EO22" s="2"/>
      <c r="EP22" s="2"/>
      <c r="EQ22" s="2"/>
      <c r="ER22" s="2"/>
      <c r="ES22" s="2"/>
      <c r="ET22" s="2"/>
      <c r="EU22" s="2"/>
      <c r="EV22" s="2"/>
      <c r="EW22" s="2"/>
      <c r="EX22" s="2"/>
      <c r="EY22" s="2"/>
      <c r="EZ22" s="2"/>
      <c r="FA22" s="2"/>
      <c r="FB22" s="2"/>
      <c r="FC22" s="2"/>
      <c r="FD22" s="2"/>
      <c r="FE22" s="2"/>
      <c r="FF22" s="2"/>
      <c r="FG22" s="2"/>
      <c r="FH22" s="2"/>
      <c r="FI22" s="2"/>
      <c r="FJ22" s="2"/>
      <c r="FK22" s="2"/>
      <c r="FL22" s="2"/>
      <c r="FM22" s="2"/>
      <c r="FN22" s="2"/>
      <c r="FO22" s="2"/>
      <c r="FP22" s="2"/>
      <c r="FQ22" s="2"/>
      <c r="FR22" s="2"/>
      <c r="FS22" s="316"/>
      <c r="FT22" s="316"/>
      <c r="FU22" s="2"/>
      <c r="FV22" s="2"/>
      <c r="FW22" s="2"/>
      <c r="FX22" s="2"/>
      <c r="FY22" s="2"/>
      <c r="FZ22" s="2"/>
      <c r="GA22" s="2"/>
      <c r="GB22" s="2"/>
      <c r="GC22" s="2"/>
      <c r="GD22" s="2"/>
      <c r="GE22" s="2"/>
      <c r="GF22" s="2"/>
      <c r="GG22" s="2"/>
      <c r="GH22" s="316"/>
      <c r="GI22" s="316"/>
      <c r="GJ22" s="2"/>
      <c r="GK22" s="2"/>
      <c r="GL22" s="2"/>
      <c r="GM22" s="2"/>
      <c r="GN22" s="2"/>
      <c r="GO22" s="2"/>
      <c r="GP22" s="2"/>
      <c r="GQ22" s="2"/>
      <c r="GR22" s="2"/>
      <c r="GS22" s="5"/>
      <c r="HE22" s="2"/>
      <c r="HH22" s="309"/>
      <c r="HJ22" s="309"/>
      <c r="HM22" s="309"/>
      <c r="HO22" s="309"/>
      <c r="HR22" s="309"/>
      <c r="HT22" s="309"/>
      <c r="HX22" s="309"/>
      <c r="WX22" s="309"/>
      <c r="XB22" s="309"/>
    </row>
    <row r="23" spans="1:629" ht="25.2" x14ac:dyDescent="0.3">
      <c r="A23" s="3"/>
      <c r="B23" s="3"/>
      <c r="C23" s="313"/>
      <c r="D23" s="313"/>
      <c r="E23" s="313"/>
      <c r="F23" s="313"/>
      <c r="G23" s="314"/>
      <c r="H23" s="314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V23" s="2"/>
      <c r="W23" s="2"/>
      <c r="X23" s="2"/>
      <c r="Y23" s="2"/>
      <c r="Z23" s="2"/>
      <c r="AA23" s="2"/>
      <c r="AB23" s="2"/>
      <c r="AC23" s="2"/>
      <c r="AD23" s="2"/>
      <c r="AE23" s="2"/>
      <c r="AF23" s="2"/>
      <c r="AG23" s="2"/>
      <c r="AH23" s="2"/>
      <c r="AI23" s="2"/>
      <c r="AJ23" s="2"/>
      <c r="AK23" s="2"/>
      <c r="AL23" s="2"/>
      <c r="AM23" s="2"/>
      <c r="AN23" s="2"/>
      <c r="AO23" s="2"/>
      <c r="AP23" s="2"/>
      <c r="AQ23" s="2"/>
      <c r="AR23" s="2"/>
      <c r="AS23" s="2"/>
      <c r="AT23" s="2"/>
      <c r="AU23" s="2"/>
      <c r="AV23" s="2"/>
      <c r="AW23" s="2"/>
      <c r="AX23" s="2"/>
      <c r="AY23" s="2"/>
      <c r="AZ23" s="2"/>
      <c r="BA23" s="2"/>
      <c r="BB23" s="2"/>
      <c r="BC23" s="2"/>
      <c r="BD23" s="2"/>
      <c r="BE23" s="2"/>
      <c r="BF23" s="2"/>
      <c r="BG23" s="2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2"/>
      <c r="CE23" s="2"/>
      <c r="CF23" s="2"/>
      <c r="CG23" s="2"/>
      <c r="CH23" s="2"/>
      <c r="CI23" s="2"/>
      <c r="CJ23" s="2"/>
      <c r="CK23" s="2"/>
      <c r="CL23" s="2"/>
      <c r="CM23" s="2"/>
      <c r="CN23" s="2"/>
      <c r="CO23" s="2"/>
      <c r="CP23" s="2"/>
      <c r="CQ23" s="2"/>
      <c r="CR23" s="2"/>
      <c r="CS23" s="2"/>
      <c r="CT23" s="2"/>
      <c r="CU23" s="2"/>
      <c r="CV23" s="2"/>
      <c r="CW23" s="2"/>
      <c r="CX23" s="2"/>
      <c r="CY23" s="2"/>
      <c r="CZ23" s="2"/>
      <c r="DA23" s="2"/>
      <c r="DB23" s="2"/>
      <c r="DC23" s="2"/>
      <c r="DD23" s="2"/>
      <c r="DE23" s="2"/>
      <c r="DF23" s="2"/>
      <c r="DG23" s="2"/>
      <c r="DH23" s="2"/>
      <c r="DI23" s="2"/>
      <c r="DJ23" s="2"/>
      <c r="DK23" s="2"/>
      <c r="DL23" s="305"/>
      <c r="DM23" s="305"/>
      <c r="DN23" s="5"/>
      <c r="EH23" s="1"/>
      <c r="EI23" s="1"/>
      <c r="EJ23" s="1"/>
      <c r="EK23" s="1"/>
      <c r="EL23" s="1"/>
      <c r="EM23" s="1"/>
      <c r="EN23" s="1"/>
      <c r="EO23" s="1"/>
      <c r="EP23" s="1"/>
      <c r="EQ23" s="1"/>
      <c r="ER23" s="1"/>
      <c r="ES23" s="1"/>
      <c r="ET23" s="1"/>
      <c r="EU23" s="1"/>
      <c r="EV23" s="1"/>
      <c r="EW23" s="1"/>
      <c r="EX23" s="1"/>
      <c r="EY23" s="1"/>
      <c r="EZ23" s="1"/>
      <c r="FA23" s="1"/>
      <c r="FB23" s="1"/>
      <c r="FC23" s="1"/>
      <c r="FD23" s="1"/>
      <c r="FE23" s="1"/>
      <c r="FF23" s="1"/>
      <c r="FG23" s="1"/>
      <c r="FH23" s="1"/>
      <c r="FI23" s="1"/>
      <c r="FJ23" s="1"/>
      <c r="FK23" s="1"/>
      <c r="FL23" s="1"/>
      <c r="FY23" s="3"/>
      <c r="FZ23" s="3"/>
      <c r="GA23" s="3"/>
      <c r="GB23" s="3"/>
      <c r="GC23" s="1"/>
      <c r="GN23" s="3"/>
      <c r="GO23" s="3"/>
      <c r="GP23" s="3"/>
      <c r="GQ23" s="3"/>
      <c r="GR23" s="3"/>
      <c r="GS23" s="3"/>
      <c r="GT23" s="3"/>
      <c r="GU23" s="3"/>
      <c r="GV23" s="3"/>
      <c r="GW23" s="3"/>
      <c r="GX23" s="3"/>
      <c r="GY23" s="3"/>
      <c r="GZ23" s="3"/>
      <c r="HA23" s="3"/>
      <c r="HB23" s="3"/>
      <c r="HC23" s="3"/>
      <c r="HD23" s="3"/>
      <c r="HE23" s="3"/>
      <c r="HF23" s="3"/>
      <c r="HG23" s="3"/>
      <c r="HH23" s="309"/>
      <c r="HI23" s="3"/>
      <c r="HJ23" s="309"/>
      <c r="HK23" s="3"/>
      <c r="HL23" s="3"/>
      <c r="HM23" s="309"/>
      <c r="HN23" s="3"/>
      <c r="HO23" s="309"/>
      <c r="HP23" s="3"/>
      <c r="HQ23" s="3"/>
      <c r="HR23" s="309"/>
      <c r="HS23" s="3"/>
      <c r="HT23" s="309"/>
      <c r="HU23" s="3"/>
      <c r="HV23" s="3"/>
      <c r="HW23" s="3"/>
      <c r="HX23" s="309"/>
      <c r="HY23" s="3"/>
      <c r="HZ23" s="3"/>
      <c r="IA23" s="3"/>
      <c r="IB23" s="3"/>
      <c r="IC23" s="3"/>
      <c r="ID23" s="3"/>
      <c r="IE23" s="3"/>
      <c r="IF23" s="3"/>
      <c r="IG23" s="3"/>
      <c r="IH23" s="3"/>
      <c r="II23" s="3"/>
      <c r="IJ23" s="3"/>
      <c r="IK23" s="3"/>
      <c r="IL23" s="3"/>
      <c r="IM23" s="3"/>
      <c r="IN23" s="3"/>
      <c r="IO23" s="3"/>
      <c r="IP23" s="3"/>
      <c r="IQ23" s="3"/>
      <c r="IR23" s="3"/>
      <c r="IS23" s="3"/>
      <c r="IT23" s="3"/>
      <c r="IU23" s="3"/>
      <c r="IV23" s="3"/>
      <c r="IW23" s="3"/>
      <c r="IX23" s="3"/>
      <c r="IY23" s="3"/>
      <c r="IZ23" s="3"/>
      <c r="JA23" s="3"/>
      <c r="JB23" s="3"/>
      <c r="JC23" s="3"/>
      <c r="JD23" s="3"/>
      <c r="JE23" s="3"/>
      <c r="JF23" s="3"/>
      <c r="JG23" s="3"/>
      <c r="JH23" s="3"/>
      <c r="JI23" s="3"/>
      <c r="JJ23" s="3"/>
      <c r="JK23" s="3"/>
      <c r="JL23" s="3"/>
      <c r="JM23" s="3"/>
      <c r="JN23" s="3"/>
      <c r="JO23" s="3"/>
      <c r="JP23" s="3"/>
      <c r="JQ23" s="3"/>
      <c r="JR23" s="3"/>
      <c r="JS23" s="3"/>
      <c r="JT23" s="3"/>
      <c r="JU23" s="3"/>
      <c r="JV23" s="3"/>
      <c r="JW23" s="3"/>
      <c r="JX23" s="3"/>
      <c r="JY23" s="3"/>
      <c r="JZ23" s="3"/>
      <c r="KA23" s="3"/>
      <c r="KB23" s="3"/>
      <c r="KC23" s="3"/>
      <c r="KD23" s="3"/>
      <c r="KE23" s="3"/>
      <c r="KF23" s="3"/>
      <c r="KG23" s="3"/>
      <c r="KH23" s="3"/>
      <c r="KI23" s="3"/>
      <c r="KJ23" s="3"/>
      <c r="KK23" s="3"/>
      <c r="KL23" s="3"/>
      <c r="KM23" s="3"/>
      <c r="KN23" s="3"/>
      <c r="KO23" s="3"/>
      <c r="KP23" s="3"/>
      <c r="KQ23" s="3"/>
      <c r="KR23" s="3"/>
      <c r="KS23" s="3"/>
      <c r="KT23" s="3"/>
      <c r="KU23" s="3"/>
      <c r="KV23" s="3"/>
      <c r="KW23" s="3"/>
      <c r="KX23" s="3"/>
      <c r="KY23" s="3"/>
      <c r="KZ23" s="3"/>
      <c r="LA23" s="3"/>
      <c r="LB23" s="3"/>
      <c r="LC23" s="3"/>
      <c r="LD23" s="3"/>
      <c r="LE23" s="3"/>
      <c r="LF23" s="3"/>
      <c r="LG23" s="3"/>
      <c r="LH23" s="3"/>
      <c r="LI23" s="3"/>
      <c r="LJ23" s="3"/>
      <c r="LK23" s="3"/>
      <c r="LL23" s="3"/>
      <c r="LM23" s="3"/>
      <c r="LN23" s="3"/>
      <c r="LO23" s="3"/>
      <c r="LP23" s="3"/>
      <c r="LQ23" s="3"/>
      <c r="LR23" s="3"/>
      <c r="LS23" s="3"/>
      <c r="LT23" s="3"/>
      <c r="LU23" s="3"/>
      <c r="LV23" s="3"/>
      <c r="LW23" s="3"/>
      <c r="LX23" s="3"/>
      <c r="LY23" s="3"/>
      <c r="LZ23" s="3"/>
      <c r="MA23" s="3"/>
      <c r="MB23" s="3"/>
      <c r="MC23" s="3"/>
      <c r="MD23" s="3"/>
      <c r="ME23" s="3"/>
      <c r="MF23" s="3"/>
      <c r="MG23" s="3"/>
      <c r="MH23" s="3"/>
      <c r="MI23" s="3"/>
      <c r="MJ23" s="3"/>
      <c r="MK23" s="3"/>
      <c r="ML23" s="3"/>
      <c r="MM23" s="3"/>
      <c r="MN23" s="3"/>
      <c r="MO23" s="3"/>
      <c r="MP23" s="3"/>
      <c r="MQ23" s="3"/>
      <c r="MR23" s="3"/>
      <c r="MS23" s="3"/>
      <c r="MT23" s="3"/>
      <c r="MU23" s="3"/>
      <c r="MV23" s="3"/>
      <c r="MW23" s="3"/>
      <c r="MX23" s="3"/>
      <c r="MY23" s="3"/>
      <c r="MZ23" s="3"/>
      <c r="NA23" s="3"/>
      <c r="NB23" s="3"/>
      <c r="NC23" s="3"/>
      <c r="ND23" s="3"/>
      <c r="NE23" s="3"/>
      <c r="NF23" s="3"/>
      <c r="NG23" s="3"/>
      <c r="NH23" s="3"/>
      <c r="NI23" s="3"/>
      <c r="NJ23" s="3"/>
      <c r="NK23" s="3"/>
      <c r="NL23" s="3"/>
      <c r="NM23" s="3"/>
      <c r="NN23" s="3"/>
      <c r="NO23" s="3"/>
      <c r="NP23" s="3"/>
      <c r="NQ23" s="3"/>
      <c r="NR23" s="3"/>
      <c r="NS23" s="3"/>
      <c r="NT23" s="3"/>
      <c r="NU23" s="3"/>
      <c r="NV23" s="3"/>
      <c r="NW23" s="3"/>
      <c r="NX23" s="3"/>
      <c r="NY23" s="3"/>
      <c r="NZ23" s="3"/>
      <c r="OA23" s="3"/>
      <c r="OB23" s="3"/>
      <c r="OC23" s="3"/>
      <c r="OD23" s="3"/>
      <c r="OE23" s="3"/>
      <c r="OF23" s="3"/>
      <c r="OG23" s="3"/>
      <c r="OH23" s="3"/>
      <c r="OI23" s="3"/>
      <c r="OJ23" s="3"/>
      <c r="OK23" s="3"/>
      <c r="OL23" s="3"/>
      <c r="OM23" s="3"/>
      <c r="ON23" s="3"/>
      <c r="OO23" s="3"/>
      <c r="OP23" s="3"/>
      <c r="OQ23" s="3"/>
      <c r="OR23" s="3"/>
      <c r="OS23" s="3"/>
      <c r="OT23" s="3"/>
      <c r="OU23" s="3"/>
      <c r="OV23" s="3"/>
      <c r="OW23" s="3"/>
      <c r="OX23" s="3"/>
      <c r="OY23" s="3"/>
      <c r="OZ23" s="3"/>
      <c r="PA23" s="3"/>
      <c r="PB23" s="3"/>
      <c r="PC23" s="3"/>
      <c r="PD23" s="3"/>
      <c r="PE23" s="3"/>
      <c r="PF23" s="3"/>
      <c r="PG23" s="3"/>
      <c r="PH23" s="3"/>
      <c r="PI23" s="3"/>
      <c r="PJ23" s="3"/>
      <c r="PK23" s="3"/>
      <c r="PL23" s="3"/>
      <c r="PM23" s="3"/>
      <c r="PN23" s="3"/>
      <c r="PO23" s="3"/>
      <c r="PP23" s="3"/>
      <c r="PQ23" s="3"/>
      <c r="PR23" s="3"/>
      <c r="PS23" s="3"/>
      <c r="PT23" s="3"/>
      <c r="PU23" s="3"/>
      <c r="WW23" s="3"/>
      <c r="WX23" s="309"/>
      <c r="WY23" s="3"/>
      <c r="WZ23" s="3"/>
      <c r="XA23" s="3"/>
      <c r="XB23" s="309"/>
      <c r="XC23" s="3"/>
    </row>
    <row r="24" spans="1:629" ht="25.2" x14ac:dyDescent="0.3">
      <c r="A24" s="3"/>
      <c r="B24" s="3"/>
      <c r="G24" s="314"/>
      <c r="H24" s="314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V24" s="2"/>
      <c r="W24" s="2"/>
      <c r="X24" s="2"/>
      <c r="Y24" s="2"/>
      <c r="Z24" s="2"/>
      <c r="AA24" s="2"/>
      <c r="AB24" s="2"/>
      <c r="AC24" s="2"/>
      <c r="AD24" s="2"/>
      <c r="AE24" s="2"/>
      <c r="AF24" s="2"/>
      <c r="AG24" s="2"/>
      <c r="AH24" s="2"/>
      <c r="AI24" s="2"/>
      <c r="AJ24" s="2"/>
      <c r="AK24" s="2"/>
      <c r="AL24" s="2"/>
      <c r="AM24" s="2"/>
      <c r="AN24" s="2"/>
      <c r="AO24" s="2"/>
      <c r="AP24" s="2"/>
      <c r="AQ24" s="2"/>
      <c r="AR24" s="2"/>
      <c r="AS24" s="2"/>
      <c r="AT24" s="2"/>
      <c r="AU24" s="2"/>
      <c r="AV24" s="2"/>
      <c r="AW24" s="2"/>
      <c r="AX24" s="2"/>
      <c r="AY24" s="2"/>
      <c r="AZ24" s="2"/>
      <c r="BA24" s="2"/>
      <c r="BB24" s="2"/>
      <c r="BC24" s="2"/>
      <c r="BD24" s="2"/>
      <c r="BE24" s="2"/>
      <c r="BF24" s="2"/>
      <c r="BG24" s="2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2"/>
      <c r="CE24" s="2"/>
      <c r="CF24" s="2"/>
      <c r="CG24" s="2"/>
      <c r="CH24" s="2"/>
      <c r="CI24" s="2"/>
      <c r="CJ24" s="2"/>
      <c r="CK24" s="2"/>
      <c r="CL24" s="2"/>
      <c r="CM24" s="2"/>
      <c r="CN24" s="2"/>
      <c r="CO24" s="2"/>
      <c r="CP24" s="2"/>
      <c r="CQ24" s="2"/>
      <c r="CR24" s="2"/>
      <c r="CS24" s="2"/>
      <c r="CT24" s="2"/>
      <c r="CU24" s="2"/>
      <c r="CV24" s="2"/>
      <c r="CW24" s="2"/>
      <c r="CX24" s="2"/>
      <c r="CY24" s="2"/>
      <c r="CZ24" s="2"/>
      <c r="DA24" s="2"/>
      <c r="DB24" s="2"/>
      <c r="DC24" s="2"/>
      <c r="DD24" s="2"/>
      <c r="DE24" s="2"/>
      <c r="DF24" s="2"/>
      <c r="DG24" s="2"/>
      <c r="DH24" s="2"/>
      <c r="DI24" s="2"/>
      <c r="DJ24" s="2"/>
      <c r="DK24" s="2"/>
      <c r="DL24" s="305"/>
      <c r="DM24" s="305"/>
      <c r="DN24" s="5"/>
      <c r="EH24" s="1"/>
      <c r="EI24" s="1"/>
      <c r="EJ24" s="1"/>
      <c r="EK24" s="1"/>
      <c r="EL24" s="1"/>
      <c r="EM24" s="1"/>
      <c r="EN24" s="1"/>
      <c r="EO24" s="1"/>
      <c r="EP24" s="1"/>
      <c r="EQ24" s="1"/>
      <c r="ER24" s="1"/>
      <c r="ES24" s="1"/>
      <c r="ET24" s="1"/>
      <c r="EU24" s="1"/>
      <c r="EV24" s="1"/>
      <c r="EW24" s="1"/>
      <c r="EX24" s="1"/>
      <c r="EY24" s="1"/>
      <c r="EZ24" s="1"/>
      <c r="FA24" s="1"/>
      <c r="FB24" s="1"/>
      <c r="FC24" s="1"/>
      <c r="FD24" s="1"/>
      <c r="FE24" s="1"/>
      <c r="FF24" s="1"/>
      <c r="FG24" s="1"/>
      <c r="FH24" s="1"/>
      <c r="FI24" s="1"/>
      <c r="FJ24" s="1"/>
      <c r="FK24" s="1"/>
      <c r="FL24" s="1"/>
      <c r="FY24" s="3"/>
      <c r="FZ24" s="3"/>
      <c r="GA24" s="3"/>
      <c r="GB24" s="3"/>
      <c r="GC24" s="1"/>
      <c r="GN24" s="3"/>
      <c r="GO24" s="3"/>
      <c r="GP24" s="3"/>
      <c r="GQ24" s="3"/>
      <c r="GR24" s="3"/>
      <c r="GS24" s="3"/>
      <c r="GT24" s="3"/>
      <c r="GU24" s="3"/>
      <c r="GV24" s="3"/>
      <c r="GW24" s="3"/>
      <c r="GX24" s="3"/>
      <c r="GY24" s="3"/>
      <c r="GZ24" s="3"/>
      <c r="HA24" s="3"/>
      <c r="HB24" s="3"/>
      <c r="HC24" s="3"/>
      <c r="HD24" s="3"/>
      <c r="HE24" s="3"/>
      <c r="HF24" s="3"/>
      <c r="HG24" s="3"/>
      <c r="HH24" s="309"/>
      <c r="HI24" s="3"/>
      <c r="HJ24" s="309"/>
      <c r="HK24" s="3"/>
      <c r="HL24" s="3"/>
      <c r="HM24" s="309"/>
      <c r="HN24" s="3"/>
      <c r="HO24" s="309"/>
      <c r="HP24" s="3"/>
      <c r="HQ24" s="3"/>
      <c r="HR24" s="309"/>
      <c r="HS24" s="3"/>
      <c r="HT24" s="309"/>
      <c r="HU24" s="3"/>
      <c r="HV24" s="3"/>
      <c r="HW24" s="3"/>
      <c r="HX24" s="309"/>
      <c r="HY24" s="3"/>
      <c r="HZ24" s="3"/>
      <c r="IA24" s="3"/>
      <c r="IB24" s="3"/>
      <c r="IC24" s="3"/>
      <c r="ID24" s="3"/>
      <c r="IE24" s="3"/>
      <c r="IF24" s="3"/>
      <c r="IG24" s="3"/>
      <c r="IH24" s="3"/>
      <c r="II24" s="3"/>
      <c r="IJ24" s="3"/>
      <c r="IK24" s="3"/>
      <c r="IL24" s="3"/>
      <c r="IM24" s="3"/>
      <c r="IN24" s="3"/>
      <c r="IO24" s="3"/>
      <c r="IP24" s="3"/>
      <c r="IQ24" s="3"/>
      <c r="IR24" s="3"/>
      <c r="IS24" s="3"/>
      <c r="IT24" s="3"/>
      <c r="IU24" s="3"/>
      <c r="IV24" s="3"/>
      <c r="IW24" s="3"/>
      <c r="IX24" s="3"/>
      <c r="IY24" s="3"/>
      <c r="IZ24" s="3"/>
      <c r="JA24" s="3"/>
      <c r="JB24" s="3"/>
      <c r="JC24" s="3"/>
      <c r="JD24" s="3"/>
      <c r="JE24" s="3"/>
      <c r="JF24" s="3"/>
      <c r="JG24" s="3"/>
      <c r="JH24" s="3"/>
      <c r="JI24" s="3"/>
      <c r="JJ24" s="3"/>
      <c r="JK24" s="3"/>
      <c r="JL24" s="3"/>
      <c r="JM24" s="3"/>
      <c r="JN24" s="3"/>
      <c r="JO24" s="3"/>
      <c r="JP24" s="3"/>
      <c r="JQ24" s="3"/>
      <c r="JR24" s="3"/>
      <c r="JS24" s="3"/>
      <c r="JT24" s="3"/>
      <c r="JU24" s="3"/>
      <c r="JV24" s="3"/>
      <c r="JW24" s="3"/>
      <c r="JX24" s="3"/>
      <c r="JY24" s="3"/>
      <c r="JZ24" s="3"/>
      <c r="KA24" s="3"/>
      <c r="KB24" s="3"/>
      <c r="KC24" s="3"/>
      <c r="KD24" s="3"/>
      <c r="KE24" s="3"/>
      <c r="KF24" s="3"/>
      <c r="KG24" s="3"/>
      <c r="KH24" s="3"/>
      <c r="KI24" s="3"/>
      <c r="KJ24" s="3"/>
      <c r="KK24" s="3"/>
      <c r="KL24" s="3"/>
      <c r="KM24" s="3"/>
      <c r="KN24" s="3"/>
      <c r="KO24" s="3"/>
      <c r="KP24" s="3"/>
      <c r="KQ24" s="3"/>
      <c r="KR24" s="3"/>
      <c r="KS24" s="3"/>
      <c r="KT24" s="3"/>
      <c r="KU24" s="3"/>
      <c r="KV24" s="3"/>
      <c r="KW24" s="3"/>
      <c r="KX24" s="3"/>
      <c r="KY24" s="3"/>
      <c r="KZ24" s="3"/>
      <c r="LA24" s="3"/>
      <c r="LB24" s="3"/>
      <c r="LC24" s="3"/>
      <c r="LD24" s="3"/>
      <c r="LE24" s="3"/>
      <c r="LF24" s="3"/>
      <c r="LG24" s="3"/>
      <c r="LH24" s="3"/>
      <c r="LI24" s="3"/>
      <c r="LJ24" s="3"/>
      <c r="LK24" s="3"/>
      <c r="LL24" s="3"/>
      <c r="LM24" s="3"/>
      <c r="LN24" s="3"/>
      <c r="LO24" s="3"/>
      <c r="LP24" s="3"/>
      <c r="LQ24" s="3"/>
      <c r="LR24" s="3"/>
      <c r="LS24" s="3"/>
      <c r="LT24" s="3"/>
      <c r="LU24" s="3"/>
      <c r="LV24" s="3"/>
      <c r="LW24" s="3"/>
      <c r="LX24" s="3"/>
      <c r="LY24" s="3"/>
      <c r="LZ24" s="3"/>
      <c r="MA24" s="3"/>
      <c r="MB24" s="3"/>
      <c r="MC24" s="3"/>
      <c r="MD24" s="3"/>
      <c r="ME24" s="3"/>
      <c r="MF24" s="3"/>
      <c r="MG24" s="3"/>
      <c r="MH24" s="3"/>
      <c r="MI24" s="3"/>
      <c r="MJ24" s="3"/>
      <c r="MK24" s="3"/>
      <c r="ML24" s="3"/>
      <c r="MM24" s="3"/>
      <c r="MN24" s="3"/>
      <c r="MO24" s="3"/>
      <c r="MP24" s="3"/>
      <c r="MQ24" s="3"/>
      <c r="MR24" s="3"/>
      <c r="MS24" s="3"/>
      <c r="MT24" s="3"/>
      <c r="MU24" s="3"/>
      <c r="MV24" s="3"/>
      <c r="MW24" s="3"/>
      <c r="MX24" s="3"/>
      <c r="MY24" s="3"/>
      <c r="MZ24" s="3"/>
      <c r="NA24" s="3"/>
      <c r="NB24" s="3"/>
      <c r="NC24" s="3"/>
      <c r="ND24" s="3"/>
      <c r="NE24" s="3"/>
      <c r="NF24" s="3"/>
      <c r="NG24" s="3"/>
      <c r="NH24" s="3"/>
      <c r="NI24" s="3"/>
      <c r="NJ24" s="3"/>
      <c r="NK24" s="3"/>
      <c r="NL24" s="3"/>
      <c r="NM24" s="3"/>
      <c r="NN24" s="3"/>
      <c r="NO24" s="3"/>
      <c r="NP24" s="3"/>
      <c r="NQ24" s="3"/>
      <c r="NR24" s="3"/>
      <c r="NS24" s="3"/>
      <c r="NT24" s="3"/>
      <c r="NU24" s="3"/>
      <c r="NV24" s="3"/>
      <c r="NW24" s="3"/>
      <c r="NX24" s="3"/>
      <c r="NY24" s="3"/>
      <c r="NZ24" s="3"/>
      <c r="OA24" s="3"/>
      <c r="OB24" s="3"/>
      <c r="OC24" s="3"/>
      <c r="OD24" s="3"/>
      <c r="OE24" s="3"/>
      <c r="OF24" s="3"/>
      <c r="OG24" s="3"/>
      <c r="OH24" s="3"/>
      <c r="OI24" s="3"/>
      <c r="OJ24" s="3"/>
      <c r="OK24" s="3"/>
      <c r="OL24" s="3"/>
      <c r="OM24" s="3"/>
      <c r="ON24" s="3"/>
      <c r="OO24" s="3"/>
      <c r="OP24" s="3"/>
      <c r="OQ24" s="3"/>
      <c r="OR24" s="3"/>
      <c r="OS24" s="3"/>
      <c r="OT24" s="3"/>
      <c r="OU24" s="3"/>
      <c r="OV24" s="3"/>
      <c r="OW24" s="3"/>
      <c r="OX24" s="3"/>
      <c r="OY24" s="3"/>
      <c r="OZ24" s="3"/>
      <c r="PA24" s="3"/>
      <c r="PB24" s="3"/>
      <c r="PC24" s="3"/>
      <c r="PD24" s="3"/>
      <c r="PE24" s="3"/>
      <c r="PF24" s="3"/>
      <c r="PG24" s="3"/>
      <c r="PH24" s="3"/>
      <c r="PI24" s="3"/>
      <c r="PJ24" s="3"/>
      <c r="PK24" s="3"/>
      <c r="PL24" s="3"/>
      <c r="PM24" s="3"/>
      <c r="PN24" s="3"/>
      <c r="PO24" s="3"/>
      <c r="PP24" s="3"/>
      <c r="PQ24" s="3"/>
      <c r="PR24" s="3"/>
      <c r="PS24" s="3"/>
      <c r="PT24" s="3"/>
      <c r="PU24" s="3"/>
      <c r="WW24" s="3"/>
      <c r="WX24" s="309"/>
      <c r="WY24" s="3"/>
      <c r="WZ24" s="3"/>
      <c r="XA24" s="3"/>
      <c r="XB24" s="309"/>
      <c r="XC24" s="3"/>
    </row>
    <row r="25" spans="1:629" ht="25.2" x14ac:dyDescent="0.3">
      <c r="A25" s="3"/>
      <c r="B25" s="362" t="s">
        <v>348</v>
      </c>
      <c r="C25" s="361" t="s">
        <v>350</v>
      </c>
      <c r="D25" s="361"/>
      <c r="E25" s="2"/>
      <c r="F25" s="2"/>
      <c r="G25" s="2"/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V25" s="2"/>
      <c r="W25" s="2"/>
      <c r="X25" s="2"/>
      <c r="Y25" s="2"/>
      <c r="Z25" s="2"/>
      <c r="AA25" s="2"/>
      <c r="AB25" s="2"/>
      <c r="AC25" s="2"/>
      <c r="AD25" s="2"/>
      <c r="AE25" s="2"/>
      <c r="AF25" s="2"/>
      <c r="AG25" s="2"/>
      <c r="AH25" s="2"/>
      <c r="AI25" s="2"/>
      <c r="AJ25" s="2"/>
      <c r="AK25" s="2"/>
      <c r="AL25" s="2"/>
      <c r="AM25" s="2"/>
      <c r="AN25" s="2"/>
      <c r="AO25" s="2"/>
      <c r="AP25" s="2"/>
      <c r="AQ25" s="2"/>
      <c r="AR25" s="2"/>
      <c r="AS25" s="2"/>
      <c r="AT25" s="2"/>
      <c r="AU25" s="2"/>
      <c r="AV25" s="2"/>
      <c r="AW25" s="2"/>
      <c r="AX25" s="2"/>
      <c r="AY25" s="2"/>
      <c r="AZ25" s="2"/>
      <c r="BA25" s="2"/>
      <c r="BB25" s="2"/>
      <c r="BC25" s="2"/>
      <c r="BD25" s="2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2"/>
      <c r="CE25" s="2"/>
      <c r="CF25" s="2"/>
      <c r="CG25" s="2"/>
      <c r="CH25" s="2"/>
      <c r="CI25" s="2"/>
      <c r="CJ25" s="2"/>
      <c r="CK25" s="2"/>
      <c r="CL25" s="2"/>
      <c r="CM25" s="2"/>
      <c r="CN25" s="2"/>
      <c r="CO25" s="2"/>
      <c r="CP25" s="2"/>
      <c r="CQ25" s="2"/>
      <c r="CR25" s="2"/>
      <c r="CS25" s="2"/>
      <c r="CT25" s="2"/>
      <c r="CU25" s="2"/>
      <c r="CV25" s="2"/>
      <c r="CW25" s="2"/>
      <c r="CX25" s="2"/>
      <c r="CY25" s="2"/>
      <c r="CZ25" s="2"/>
      <c r="DA25" s="2"/>
      <c r="DB25" s="2"/>
      <c r="DC25" s="2"/>
      <c r="DD25" s="2"/>
      <c r="DE25" s="2"/>
      <c r="DF25" s="2"/>
      <c r="DG25" s="2"/>
      <c r="DH25" s="2"/>
      <c r="DI25" s="2"/>
      <c r="DJ25" s="2"/>
      <c r="DK25" s="2"/>
      <c r="DL25" s="305"/>
      <c r="DM25" s="305"/>
      <c r="DN25" s="5"/>
      <c r="EH25" s="1"/>
      <c r="EI25" s="1"/>
      <c r="EJ25" s="1"/>
      <c r="EK25" s="1"/>
      <c r="EL25" s="1"/>
      <c r="EM25" s="1"/>
      <c r="EN25" s="1"/>
      <c r="EO25" s="1"/>
      <c r="EP25" s="1"/>
      <c r="EQ25" s="1"/>
      <c r="ER25" s="1"/>
      <c r="ES25" s="1"/>
      <c r="ET25" s="1"/>
      <c r="EU25" s="1"/>
      <c r="EV25" s="1"/>
      <c r="EW25" s="1"/>
      <c r="EX25" s="1"/>
      <c r="EY25" s="1"/>
      <c r="EZ25" s="1"/>
      <c r="FA25" s="1"/>
      <c r="FB25" s="1"/>
      <c r="FC25" s="1"/>
      <c r="FD25" s="1"/>
      <c r="FE25" s="1"/>
      <c r="FF25" s="1"/>
      <c r="FG25" s="1"/>
      <c r="FH25" s="1"/>
      <c r="FI25" s="1"/>
      <c r="FJ25" s="1"/>
      <c r="FK25" s="1"/>
      <c r="FL25" s="1"/>
      <c r="FY25" s="3"/>
      <c r="FZ25" s="3"/>
      <c r="GA25" s="3"/>
      <c r="GB25" s="3"/>
      <c r="GC25" s="1"/>
      <c r="GN25" s="3"/>
      <c r="GO25" s="3"/>
      <c r="GP25" s="3"/>
      <c r="GQ25" s="3"/>
      <c r="GR25" s="3"/>
      <c r="GS25" s="3"/>
      <c r="GT25" s="3"/>
      <c r="GU25" s="3"/>
      <c r="GV25" s="3"/>
      <c r="GW25" s="3"/>
      <c r="GX25" s="3"/>
      <c r="GY25" s="3"/>
      <c r="GZ25" s="3"/>
      <c r="HA25" s="3"/>
      <c r="HB25" s="3"/>
      <c r="HC25" s="3"/>
      <c r="HD25" s="3"/>
      <c r="HE25" s="3"/>
      <c r="HF25" s="3"/>
      <c r="HG25" s="3"/>
      <c r="HH25" s="309"/>
      <c r="HI25" s="3"/>
      <c r="HJ25" s="309"/>
      <c r="HK25" s="3"/>
      <c r="HL25" s="3"/>
      <c r="HM25" s="309"/>
      <c r="HN25" s="3"/>
      <c r="HO25" s="309"/>
      <c r="HP25" s="3"/>
      <c r="HQ25" s="3"/>
      <c r="HR25" s="309"/>
      <c r="HS25" s="3"/>
      <c r="HT25" s="309"/>
      <c r="HU25" s="3"/>
      <c r="HV25" s="3"/>
      <c r="HW25" s="3"/>
      <c r="HX25" s="309"/>
      <c r="HY25" s="3"/>
      <c r="HZ25" s="3"/>
      <c r="IA25" s="3"/>
      <c r="IB25" s="3"/>
      <c r="IC25" s="3"/>
      <c r="ID25" s="3"/>
      <c r="IE25" s="3"/>
      <c r="IF25" s="3"/>
      <c r="IG25" s="3"/>
      <c r="IH25" s="3"/>
      <c r="II25" s="3"/>
      <c r="IJ25" s="3"/>
      <c r="IK25" s="3"/>
      <c r="IL25" s="3"/>
      <c r="IM25" s="3"/>
      <c r="IN25" s="3"/>
      <c r="IO25" s="3"/>
      <c r="IP25" s="3"/>
      <c r="IQ25" s="3"/>
      <c r="IR25" s="3"/>
      <c r="IS25" s="3"/>
      <c r="IT25" s="3"/>
      <c r="IU25" s="3"/>
      <c r="IV25" s="3"/>
      <c r="IW25" s="3"/>
      <c r="IX25" s="3"/>
      <c r="IY25" s="3"/>
      <c r="IZ25" s="3"/>
      <c r="JA25" s="3"/>
      <c r="JB25" s="3"/>
      <c r="JC25" s="3"/>
      <c r="JD25" s="3"/>
      <c r="JE25" s="3"/>
      <c r="JF25" s="3"/>
      <c r="JG25" s="3"/>
      <c r="JH25" s="3"/>
      <c r="JI25" s="3"/>
      <c r="JJ25" s="3"/>
      <c r="JK25" s="3"/>
      <c r="JL25" s="3"/>
      <c r="JM25" s="3"/>
      <c r="JN25" s="3"/>
      <c r="JO25" s="3"/>
      <c r="JP25" s="3"/>
      <c r="JQ25" s="3"/>
      <c r="JR25" s="3"/>
      <c r="JS25" s="3"/>
      <c r="JT25" s="3"/>
      <c r="JU25" s="3"/>
      <c r="JV25" s="3"/>
      <c r="JW25" s="3"/>
      <c r="JX25" s="3"/>
      <c r="JY25" s="3"/>
      <c r="JZ25" s="3"/>
      <c r="KA25" s="3"/>
      <c r="KB25" s="3"/>
      <c r="KC25" s="3"/>
      <c r="KD25" s="3"/>
      <c r="KE25" s="3"/>
      <c r="KF25" s="3"/>
      <c r="KG25" s="3"/>
      <c r="KH25" s="3"/>
      <c r="KI25" s="3"/>
      <c r="KJ25" s="3"/>
      <c r="KK25" s="3"/>
      <c r="KL25" s="3"/>
      <c r="KM25" s="3"/>
      <c r="KN25" s="3"/>
      <c r="KO25" s="3"/>
      <c r="KP25" s="3"/>
      <c r="KQ25" s="3"/>
      <c r="KR25" s="3"/>
      <c r="KS25" s="3"/>
      <c r="KT25" s="3"/>
      <c r="KU25" s="3"/>
      <c r="KV25" s="3"/>
      <c r="KW25" s="3"/>
      <c r="KX25" s="3"/>
      <c r="KY25" s="3"/>
      <c r="KZ25" s="3"/>
      <c r="LA25" s="3"/>
      <c r="LB25" s="3"/>
      <c r="LC25" s="3"/>
      <c r="LD25" s="3"/>
      <c r="LE25" s="3"/>
      <c r="LF25" s="3"/>
      <c r="LG25" s="3"/>
      <c r="LH25" s="3"/>
      <c r="LI25" s="3"/>
      <c r="LJ25" s="3"/>
      <c r="LK25" s="3"/>
      <c r="LL25" s="3"/>
      <c r="LM25" s="3"/>
      <c r="LN25" s="3"/>
      <c r="LO25" s="3"/>
      <c r="LP25" s="3"/>
      <c r="LQ25" s="3"/>
      <c r="LR25" s="3"/>
      <c r="LS25" s="3"/>
      <c r="LT25" s="3"/>
      <c r="LU25" s="3"/>
      <c r="LV25" s="3"/>
      <c r="LW25" s="3"/>
      <c r="LX25" s="3"/>
      <c r="LY25" s="3"/>
      <c r="LZ25" s="3"/>
      <c r="MA25" s="3"/>
      <c r="MB25" s="3"/>
      <c r="MC25" s="3"/>
      <c r="MD25" s="3"/>
      <c r="ME25" s="3"/>
      <c r="MF25" s="3"/>
      <c r="MG25" s="3"/>
      <c r="MH25" s="3"/>
      <c r="MI25" s="3"/>
      <c r="MJ25" s="3"/>
      <c r="MK25" s="3"/>
      <c r="ML25" s="3"/>
      <c r="MM25" s="3"/>
      <c r="MN25" s="3"/>
      <c r="MO25" s="3"/>
      <c r="MP25" s="3"/>
      <c r="MQ25" s="3"/>
      <c r="MR25" s="3"/>
      <c r="MS25" s="3"/>
      <c r="MT25" s="3"/>
      <c r="MU25" s="3"/>
      <c r="MV25" s="3"/>
      <c r="MW25" s="3"/>
      <c r="MX25" s="3"/>
      <c r="MY25" s="3"/>
      <c r="MZ25" s="3"/>
      <c r="NA25" s="3"/>
      <c r="NB25" s="3"/>
      <c r="NC25" s="3"/>
      <c r="ND25" s="3"/>
      <c r="NE25" s="3"/>
      <c r="NF25" s="3"/>
      <c r="NG25" s="3"/>
      <c r="NH25" s="3"/>
      <c r="NI25" s="3"/>
      <c r="NJ25" s="3"/>
      <c r="NK25" s="3"/>
      <c r="NL25" s="3"/>
      <c r="NM25" s="3"/>
      <c r="NN25" s="3"/>
      <c r="NO25" s="3"/>
      <c r="NP25" s="3"/>
      <c r="NQ25" s="3"/>
      <c r="NR25" s="3"/>
      <c r="NS25" s="3"/>
      <c r="NT25" s="3"/>
      <c r="NU25" s="3"/>
      <c r="NV25" s="3"/>
      <c r="NW25" s="3"/>
      <c r="NX25" s="3"/>
      <c r="NY25" s="3"/>
      <c r="NZ25" s="3"/>
      <c r="OA25" s="3"/>
      <c r="OB25" s="3"/>
      <c r="OC25" s="3"/>
      <c r="OD25" s="3"/>
      <c r="OE25" s="3"/>
      <c r="OF25" s="3"/>
      <c r="OG25" s="3"/>
      <c r="OH25" s="3"/>
      <c r="OI25" s="3"/>
      <c r="OJ25" s="3"/>
      <c r="OK25" s="3"/>
      <c r="OL25" s="3"/>
      <c r="OM25" s="3"/>
      <c r="ON25" s="3"/>
      <c r="OO25" s="3"/>
      <c r="OP25" s="3"/>
      <c r="OQ25" s="3"/>
      <c r="OR25" s="3"/>
      <c r="OS25" s="3"/>
      <c r="OT25" s="3"/>
      <c r="OU25" s="3"/>
      <c r="OV25" s="3"/>
      <c r="OW25" s="3"/>
      <c r="OX25" s="3"/>
      <c r="OY25" s="3"/>
      <c r="OZ25" s="3"/>
      <c r="PA25" s="3"/>
      <c r="PB25" s="3"/>
      <c r="PC25" s="3"/>
      <c r="PD25" s="3"/>
      <c r="PE25" s="3"/>
      <c r="PF25" s="3"/>
      <c r="PG25" s="3"/>
      <c r="PH25" s="3"/>
      <c r="PI25" s="3"/>
      <c r="PJ25" s="3"/>
      <c r="PK25" s="3"/>
      <c r="PL25" s="3"/>
      <c r="PM25" s="3"/>
      <c r="PN25" s="3"/>
      <c r="PO25" s="3"/>
      <c r="PP25" s="3"/>
      <c r="PQ25" s="3"/>
      <c r="PR25" s="3"/>
      <c r="PS25" s="3"/>
      <c r="PT25" s="3"/>
      <c r="PU25" s="3"/>
      <c r="WW25" s="3"/>
      <c r="WX25" s="309"/>
      <c r="WY25" s="3"/>
      <c r="WZ25" s="3"/>
      <c r="XA25" s="3"/>
      <c r="XB25" s="309"/>
      <c r="XC25" s="3"/>
    </row>
    <row r="26" spans="1:629" ht="21" x14ac:dyDescent="0.3">
      <c r="B26" s="363" t="s">
        <v>349</v>
      </c>
      <c r="C26" s="361" t="s">
        <v>351</v>
      </c>
      <c r="D26" s="361"/>
      <c r="HH26" s="309"/>
      <c r="HJ26" s="309"/>
      <c r="HM26" s="309"/>
      <c r="HO26" s="309"/>
      <c r="HR26" s="309"/>
      <c r="HT26" s="309"/>
      <c r="HX26" s="309"/>
      <c r="WX26" s="309"/>
      <c r="XB26" s="309"/>
    </row>
    <row r="27" spans="1:629" ht="18" x14ac:dyDescent="0.3">
      <c r="HH27" s="309"/>
      <c r="HJ27" s="309"/>
      <c r="HM27" s="309"/>
      <c r="HO27" s="309"/>
      <c r="HR27" s="309"/>
      <c r="HT27" s="309"/>
      <c r="HX27" s="309"/>
      <c r="WX27" s="309"/>
      <c r="XB27" s="309"/>
    </row>
    <row r="28" spans="1:629" ht="18" x14ac:dyDescent="0.3">
      <c r="HH28" s="309"/>
      <c r="HJ28" s="309"/>
      <c r="HM28" s="309"/>
      <c r="HO28" s="309"/>
      <c r="HR28" s="309"/>
      <c r="HT28" s="309"/>
      <c r="HX28" s="309"/>
      <c r="WX28" s="309"/>
      <c r="XB28" s="309"/>
    </row>
    <row r="29" spans="1:629" ht="17.399999999999999" x14ac:dyDescent="0.3">
      <c r="U29" s="1"/>
      <c r="EH29" s="1"/>
      <c r="EI29" s="1"/>
      <c r="EJ29" s="1"/>
      <c r="EK29" s="1"/>
      <c r="EL29" s="1"/>
      <c r="EM29" s="1"/>
      <c r="EN29" s="1"/>
      <c r="EO29" s="1"/>
      <c r="EP29" s="1"/>
      <c r="EQ29" s="1"/>
      <c r="ER29" s="1"/>
      <c r="ES29" s="1"/>
      <c r="ET29" s="1"/>
      <c r="EU29" s="1"/>
      <c r="EV29" s="1"/>
      <c r="EW29" s="1"/>
      <c r="EX29" s="1"/>
      <c r="EY29" s="1"/>
      <c r="EZ29" s="1"/>
      <c r="FA29" s="1"/>
      <c r="FB29" s="1"/>
      <c r="FC29" s="1"/>
      <c r="FD29" s="1"/>
      <c r="FE29" s="1"/>
      <c r="FF29" s="1"/>
      <c r="FG29" s="1"/>
      <c r="FH29" s="1"/>
      <c r="FI29" s="1"/>
      <c r="FJ29" s="1"/>
      <c r="FK29" s="1"/>
      <c r="FL29" s="1"/>
      <c r="GC29" s="1"/>
      <c r="HH29" s="309"/>
      <c r="HJ29" s="309"/>
      <c r="HM29" s="309"/>
      <c r="HO29" s="309"/>
      <c r="HR29" s="309"/>
      <c r="HT29" s="309"/>
      <c r="HX29" s="309"/>
      <c r="WX29" s="309"/>
      <c r="XB29" s="309"/>
    </row>
    <row r="30" spans="1:629" ht="17.399999999999999" x14ac:dyDescent="0.3">
      <c r="U30" s="1"/>
      <c r="EH30" s="1"/>
      <c r="EI30" s="1"/>
      <c r="EJ30" s="1"/>
      <c r="EK30" s="1"/>
      <c r="EL30" s="1"/>
      <c r="EM30" s="1"/>
      <c r="EN30" s="1"/>
      <c r="EO30" s="1"/>
      <c r="EP30" s="1"/>
      <c r="EQ30" s="1"/>
      <c r="ER30" s="1"/>
      <c r="ES30" s="1"/>
      <c r="ET30" s="1"/>
      <c r="EU30" s="1"/>
      <c r="EV30" s="1"/>
      <c r="EW30" s="1"/>
      <c r="EX30" s="1"/>
      <c r="EY30" s="1"/>
      <c r="EZ30" s="1"/>
      <c r="FA30" s="1"/>
      <c r="FB30" s="1"/>
      <c r="FC30" s="1"/>
      <c r="FD30" s="1"/>
      <c r="FE30" s="1"/>
      <c r="FF30" s="1"/>
      <c r="FG30" s="1"/>
      <c r="FH30" s="1"/>
      <c r="FI30" s="1"/>
      <c r="FJ30" s="1"/>
      <c r="FK30" s="1"/>
      <c r="FL30" s="1"/>
      <c r="GC30" s="1"/>
      <c r="HH30" s="309"/>
      <c r="HJ30" s="309"/>
      <c r="HM30" s="309"/>
      <c r="HO30" s="309"/>
      <c r="HR30" s="309"/>
      <c r="HT30" s="309"/>
      <c r="HX30" s="309"/>
      <c r="WX30" s="309"/>
      <c r="XB30" s="309"/>
    </row>
    <row r="31" spans="1:629" ht="17.399999999999999" x14ac:dyDescent="0.3">
      <c r="U31" s="1"/>
      <c r="EH31" s="1"/>
      <c r="EI31" s="1"/>
      <c r="EJ31" s="1"/>
      <c r="EK31" s="1"/>
      <c r="EL31" s="1"/>
      <c r="EM31" s="1"/>
      <c r="EN31" s="1"/>
      <c r="EO31" s="1"/>
      <c r="EP31" s="1"/>
      <c r="EQ31" s="1"/>
      <c r="ER31" s="1"/>
      <c r="ES31" s="1"/>
      <c r="ET31" s="1"/>
      <c r="EU31" s="1"/>
      <c r="EV31" s="1"/>
      <c r="EW31" s="1"/>
      <c r="EX31" s="1"/>
      <c r="EY31" s="1"/>
      <c r="EZ31" s="1"/>
      <c r="FA31" s="1"/>
      <c r="FB31" s="1"/>
      <c r="FC31" s="1"/>
      <c r="FD31" s="1"/>
      <c r="FE31" s="1"/>
      <c r="FF31" s="1"/>
      <c r="FG31" s="1"/>
      <c r="FH31" s="1"/>
      <c r="FI31" s="1"/>
      <c r="FJ31" s="1"/>
      <c r="FK31" s="1"/>
      <c r="FL31" s="1"/>
      <c r="GC31" s="1"/>
      <c r="HH31" s="309"/>
      <c r="HJ31" s="309"/>
      <c r="HM31" s="309"/>
      <c r="HO31" s="309"/>
      <c r="HR31" s="309"/>
      <c r="HT31" s="309"/>
      <c r="HX31" s="309"/>
      <c r="WX31" s="309"/>
      <c r="XB31" s="309"/>
    </row>
    <row r="32" spans="1:629" ht="17.399999999999999" x14ac:dyDescent="0.3">
      <c r="U32" s="1"/>
      <c r="EH32" s="1"/>
      <c r="EI32" s="1"/>
      <c r="EJ32" s="1"/>
      <c r="EK32" s="1"/>
      <c r="EL32" s="1"/>
      <c r="EM32" s="1"/>
      <c r="EN32" s="1"/>
      <c r="EO32" s="1"/>
      <c r="EP32" s="1"/>
      <c r="EQ32" s="1"/>
      <c r="ER32" s="1"/>
      <c r="ES32" s="1"/>
      <c r="ET32" s="1"/>
      <c r="EU32" s="1"/>
      <c r="EV32" s="1"/>
      <c r="EW32" s="1"/>
      <c r="EX32" s="1"/>
      <c r="EY32" s="1"/>
      <c r="EZ32" s="1"/>
      <c r="FA32" s="1"/>
      <c r="FB32" s="1"/>
      <c r="FC32" s="1"/>
      <c r="FD32" s="1"/>
      <c r="FE32" s="1"/>
      <c r="FF32" s="1"/>
      <c r="FG32" s="1"/>
      <c r="FH32" s="1"/>
      <c r="FI32" s="1"/>
      <c r="FJ32" s="1"/>
      <c r="FK32" s="1"/>
      <c r="FL32" s="1"/>
      <c r="GC32" s="1"/>
      <c r="HH32" s="309"/>
      <c r="HJ32" s="309"/>
      <c r="HM32" s="309"/>
      <c r="HO32" s="309"/>
      <c r="HR32" s="309"/>
      <c r="HT32" s="309"/>
      <c r="HX32" s="309"/>
      <c r="WX32" s="309"/>
      <c r="XB32" s="309"/>
    </row>
    <row r="33" spans="21:626" ht="17.399999999999999" x14ac:dyDescent="0.3">
      <c r="U33" s="1"/>
      <c r="EH33" s="1"/>
      <c r="EI33" s="1"/>
      <c r="EJ33" s="1"/>
      <c r="EK33" s="1"/>
      <c r="EL33" s="1"/>
      <c r="EM33" s="1"/>
      <c r="EN33" s="1"/>
      <c r="EO33" s="1"/>
      <c r="EP33" s="1"/>
      <c r="EQ33" s="1"/>
      <c r="ER33" s="1"/>
      <c r="ES33" s="1"/>
      <c r="ET33" s="1"/>
      <c r="EU33" s="1"/>
      <c r="EV33" s="1"/>
      <c r="EW33" s="1"/>
      <c r="EX33" s="1"/>
      <c r="EY33" s="1"/>
      <c r="EZ33" s="1"/>
      <c r="FA33" s="1"/>
      <c r="FB33" s="1"/>
      <c r="FC33" s="1"/>
      <c r="FD33" s="1"/>
      <c r="FE33" s="1"/>
      <c r="FF33" s="1"/>
      <c r="FG33" s="1"/>
      <c r="FH33" s="1"/>
      <c r="FI33" s="1"/>
      <c r="FJ33" s="1"/>
      <c r="FK33" s="1"/>
      <c r="FL33" s="1"/>
      <c r="GC33" s="1"/>
      <c r="HH33" s="309"/>
      <c r="HJ33" s="309"/>
      <c r="HM33" s="309"/>
      <c r="HO33" s="309"/>
      <c r="HR33" s="309"/>
      <c r="HT33" s="309"/>
      <c r="HX33" s="309"/>
      <c r="WX33" s="309"/>
      <c r="XB33" s="309"/>
    </row>
    <row r="34" spans="21:626" ht="17.399999999999999" x14ac:dyDescent="0.3">
      <c r="U34" s="1"/>
      <c r="EH34" s="1"/>
      <c r="EI34" s="1"/>
      <c r="EJ34" s="1"/>
      <c r="EK34" s="1"/>
      <c r="EL34" s="1"/>
      <c r="EM34" s="1"/>
      <c r="EN34" s="1"/>
      <c r="EO34" s="1"/>
      <c r="EP34" s="1"/>
      <c r="EQ34" s="1"/>
      <c r="ER34" s="1"/>
      <c r="ES34" s="1"/>
      <c r="ET34" s="1"/>
      <c r="EU34" s="1"/>
      <c r="EV34" s="1"/>
      <c r="EW34" s="1"/>
      <c r="EX34" s="1"/>
      <c r="EY34" s="1"/>
      <c r="EZ34" s="1"/>
      <c r="FA34" s="1"/>
      <c r="FB34" s="1"/>
      <c r="FC34" s="1"/>
      <c r="FD34" s="1"/>
      <c r="FE34" s="1"/>
      <c r="FF34" s="1"/>
      <c r="FG34" s="1"/>
      <c r="FH34" s="1"/>
      <c r="FI34" s="1"/>
      <c r="FJ34" s="1"/>
      <c r="FK34" s="1"/>
      <c r="FL34" s="1"/>
      <c r="GC34" s="1"/>
      <c r="HH34" s="309"/>
      <c r="HJ34" s="309"/>
      <c r="HM34" s="309"/>
      <c r="HO34" s="309"/>
      <c r="HR34" s="309"/>
      <c r="HT34" s="309"/>
      <c r="HX34" s="309"/>
      <c r="WX34" s="309"/>
      <c r="XB34" s="309"/>
    </row>
    <row r="35" spans="21:626" ht="17.399999999999999" x14ac:dyDescent="0.3">
      <c r="U35" s="1"/>
      <c r="EH35" s="1"/>
      <c r="EI35" s="1"/>
      <c r="EJ35" s="1"/>
      <c r="EK35" s="1"/>
      <c r="EL35" s="1"/>
      <c r="EM35" s="1"/>
      <c r="EN35" s="1"/>
      <c r="EO35" s="1"/>
      <c r="EP35" s="1"/>
      <c r="EQ35" s="1"/>
      <c r="ER35" s="1"/>
      <c r="ES35" s="1"/>
      <c r="ET35" s="1"/>
      <c r="EU35" s="1"/>
      <c r="EV35" s="1"/>
      <c r="EW35" s="1"/>
      <c r="EX35" s="1"/>
      <c r="EY35" s="1"/>
      <c r="EZ35" s="1"/>
      <c r="FA35" s="1"/>
      <c r="FB35" s="1"/>
      <c r="FC35" s="1"/>
      <c r="FD35" s="1"/>
      <c r="FE35" s="1"/>
      <c r="FF35" s="1"/>
      <c r="FG35" s="1"/>
      <c r="FH35" s="1"/>
      <c r="FI35" s="1"/>
      <c r="FJ35" s="1"/>
      <c r="FK35" s="1"/>
      <c r="FL35" s="1"/>
      <c r="GC35" s="1"/>
      <c r="HH35" s="309"/>
      <c r="HJ35" s="309"/>
      <c r="HM35" s="309"/>
      <c r="HO35" s="309"/>
      <c r="HR35" s="309"/>
      <c r="HT35" s="309"/>
      <c r="HX35" s="309"/>
      <c r="WX35" s="309"/>
      <c r="XB35" s="309"/>
    </row>
    <row r="36" spans="21:626" ht="17.399999999999999" x14ac:dyDescent="0.3">
      <c r="U36" s="1"/>
      <c r="EH36" s="1"/>
      <c r="EI36" s="1"/>
      <c r="EJ36" s="1"/>
      <c r="EK36" s="1"/>
      <c r="EL36" s="1"/>
      <c r="EM36" s="1"/>
      <c r="EN36" s="1"/>
      <c r="EO36" s="1"/>
      <c r="EP36" s="1"/>
      <c r="EQ36" s="1"/>
      <c r="ER36" s="1"/>
      <c r="ES36" s="1"/>
      <c r="ET36" s="1"/>
      <c r="EU36" s="1"/>
      <c r="EV36" s="1"/>
      <c r="EW36" s="1"/>
      <c r="EX36" s="1"/>
      <c r="EY36" s="1"/>
      <c r="EZ36" s="1"/>
      <c r="FA36" s="1"/>
      <c r="FB36" s="1"/>
      <c r="FC36" s="1"/>
      <c r="FD36" s="1"/>
      <c r="FE36" s="1"/>
      <c r="FF36" s="1"/>
      <c r="FG36" s="1"/>
      <c r="FH36" s="1"/>
      <c r="FI36" s="1"/>
      <c r="FJ36" s="1"/>
      <c r="FK36" s="1"/>
      <c r="FL36" s="1"/>
      <c r="GC36" s="1"/>
      <c r="HH36" s="309"/>
      <c r="HJ36" s="309"/>
      <c r="HM36" s="309"/>
      <c r="HO36" s="309"/>
      <c r="HR36" s="309"/>
      <c r="HT36" s="309"/>
      <c r="HX36" s="309"/>
      <c r="WX36" s="309"/>
      <c r="XB36" s="309"/>
    </row>
    <row r="37" spans="21:626" ht="17.399999999999999" x14ac:dyDescent="0.3">
      <c r="U37" s="1"/>
      <c r="EH37" s="1"/>
      <c r="EI37" s="1"/>
      <c r="EJ37" s="1"/>
      <c r="EK37" s="1"/>
      <c r="EL37" s="1"/>
      <c r="EM37" s="1"/>
      <c r="EN37" s="1"/>
      <c r="EO37" s="1"/>
      <c r="EP37" s="1"/>
      <c r="EQ37" s="1"/>
      <c r="ER37" s="1"/>
      <c r="ES37" s="1"/>
      <c r="ET37" s="1"/>
      <c r="EU37" s="1"/>
      <c r="EV37" s="1"/>
      <c r="EW37" s="1"/>
      <c r="EX37" s="1"/>
      <c r="EY37" s="1"/>
      <c r="EZ37" s="1"/>
      <c r="FA37" s="1"/>
      <c r="FB37" s="1"/>
      <c r="FC37" s="1"/>
      <c r="FD37" s="1"/>
      <c r="FE37" s="1"/>
      <c r="FF37" s="1"/>
      <c r="FG37" s="1"/>
      <c r="FH37" s="1"/>
      <c r="FI37" s="1"/>
      <c r="FJ37" s="1"/>
      <c r="FK37" s="1"/>
      <c r="FL37" s="1"/>
      <c r="GC37" s="1"/>
      <c r="HH37" s="309"/>
      <c r="HJ37" s="309"/>
      <c r="HM37" s="309"/>
      <c r="HO37" s="309"/>
      <c r="HR37" s="309"/>
      <c r="HT37" s="309"/>
      <c r="HX37" s="309"/>
      <c r="WX37" s="309"/>
      <c r="XB37" s="309"/>
    </row>
    <row r="38" spans="21:626" ht="17.399999999999999" x14ac:dyDescent="0.3">
      <c r="U38" s="1"/>
      <c r="EH38" s="1"/>
      <c r="EI38" s="1"/>
      <c r="EJ38" s="1"/>
      <c r="EK38" s="1"/>
      <c r="EL38" s="1"/>
      <c r="EM38" s="1"/>
      <c r="EN38" s="1"/>
      <c r="EO38" s="1"/>
      <c r="EP38" s="1"/>
      <c r="EQ38" s="1"/>
      <c r="ER38" s="1"/>
      <c r="ES38" s="1"/>
      <c r="ET38" s="1"/>
      <c r="EU38" s="1"/>
      <c r="EV38" s="1"/>
      <c r="EW38" s="1"/>
      <c r="EX38" s="1"/>
      <c r="EY38" s="1"/>
      <c r="EZ38" s="1"/>
      <c r="FA38" s="1"/>
      <c r="FB38" s="1"/>
      <c r="FC38" s="1"/>
      <c r="FD38" s="1"/>
      <c r="FE38" s="1"/>
      <c r="FF38" s="1"/>
      <c r="FG38" s="1"/>
      <c r="FH38" s="1"/>
      <c r="FI38" s="1"/>
      <c r="FJ38" s="1"/>
      <c r="FK38" s="1"/>
      <c r="FL38" s="1"/>
      <c r="GC38" s="1"/>
      <c r="HH38" s="309"/>
      <c r="HJ38" s="309"/>
      <c r="HM38" s="309"/>
      <c r="HO38" s="309"/>
      <c r="HR38" s="309"/>
      <c r="HT38" s="309"/>
      <c r="HX38" s="309"/>
      <c r="WX38" s="309"/>
      <c r="XB38" s="309"/>
    </row>
    <row r="39" spans="21:626" ht="17.399999999999999" x14ac:dyDescent="0.3">
      <c r="U39" s="1"/>
      <c r="EH39" s="1"/>
      <c r="EI39" s="1"/>
      <c r="EJ39" s="1"/>
      <c r="EK39" s="1"/>
      <c r="EL39" s="1"/>
      <c r="EM39" s="1"/>
      <c r="EN39" s="1"/>
      <c r="EO39" s="1"/>
      <c r="EP39" s="1"/>
      <c r="EQ39" s="1"/>
      <c r="ER39" s="1"/>
      <c r="ES39" s="1"/>
      <c r="ET39" s="1"/>
      <c r="EU39" s="1"/>
      <c r="EV39" s="1"/>
      <c r="EW39" s="1"/>
      <c r="EX39" s="1"/>
      <c r="EY39" s="1"/>
      <c r="EZ39" s="1"/>
      <c r="FA39" s="1"/>
      <c r="FB39" s="1"/>
      <c r="FC39" s="1"/>
      <c r="FD39" s="1"/>
      <c r="FE39" s="1"/>
      <c r="FF39" s="1"/>
      <c r="FG39" s="1"/>
      <c r="FH39" s="1"/>
      <c r="FI39" s="1"/>
      <c r="FJ39" s="1"/>
      <c r="FK39" s="1"/>
      <c r="FL39" s="1"/>
      <c r="GC39" s="1"/>
      <c r="HH39" s="309"/>
      <c r="HJ39" s="309"/>
      <c r="HM39" s="309"/>
      <c r="HO39" s="309"/>
      <c r="HR39" s="309"/>
      <c r="HT39" s="309"/>
      <c r="HX39" s="309"/>
      <c r="WX39" s="309"/>
      <c r="XB39" s="309"/>
    </row>
    <row r="40" spans="21:626" ht="17.399999999999999" x14ac:dyDescent="0.3">
      <c r="U40" s="1"/>
      <c r="EH40" s="1"/>
      <c r="EI40" s="1"/>
      <c r="EJ40" s="1"/>
      <c r="EK40" s="1"/>
      <c r="EL40" s="1"/>
      <c r="EM40" s="1"/>
      <c r="EN40" s="1"/>
      <c r="EO40" s="1"/>
      <c r="EP40" s="1"/>
      <c r="EQ40" s="1"/>
      <c r="ER40" s="1"/>
      <c r="ES40" s="1"/>
      <c r="ET40" s="1"/>
      <c r="EU40" s="1"/>
      <c r="EV40" s="1"/>
      <c r="EW40" s="1"/>
      <c r="EX40" s="1"/>
      <c r="EY40" s="1"/>
      <c r="EZ40" s="1"/>
      <c r="FA40" s="1"/>
      <c r="FB40" s="1"/>
      <c r="FC40" s="1"/>
      <c r="FD40" s="1"/>
      <c r="FE40" s="1"/>
      <c r="FF40" s="1"/>
      <c r="FG40" s="1"/>
      <c r="FH40" s="1"/>
      <c r="FI40" s="1"/>
      <c r="FJ40" s="1"/>
      <c r="FK40" s="1"/>
      <c r="FL40" s="1"/>
      <c r="GC40" s="1"/>
      <c r="HH40" s="309"/>
      <c r="HJ40" s="309"/>
      <c r="HM40" s="309"/>
      <c r="HO40" s="309"/>
      <c r="HR40" s="309"/>
      <c r="HT40" s="309"/>
      <c r="HX40" s="309"/>
      <c r="WX40" s="309"/>
      <c r="XB40" s="309"/>
    </row>
    <row r="41" spans="21:626" ht="18" x14ac:dyDescent="0.3"/>
    <row r="42" spans="21:626" ht="18" x14ac:dyDescent="0.3"/>
    <row r="43" spans="21:626" ht="18" x14ac:dyDescent="0.3"/>
    <row r="44" spans="21:626" ht="18" x14ac:dyDescent="0.3"/>
    <row r="45" spans="21:626" ht="18" x14ac:dyDescent="0.3"/>
    <row r="46" spans="21:626" ht="18" x14ac:dyDescent="0.3"/>
    <row r="47" spans="21:626" ht="18" x14ac:dyDescent="0.3"/>
    <row r="48" spans="21:626" ht="18" x14ac:dyDescent="0.3"/>
    <row r="49" s="1" customFormat="1" ht="15.6" x14ac:dyDescent="0.3"/>
    <row r="50" s="1" customFormat="1" ht="15.6" x14ac:dyDescent="0.3"/>
    <row r="51" s="1" customFormat="1" ht="15.6" x14ac:dyDescent="0.3"/>
    <row r="52" s="1" customFormat="1" ht="15.6" x14ac:dyDescent="0.3"/>
    <row r="53" s="1" customFormat="1" ht="15.6" x14ac:dyDescent="0.3"/>
    <row r="54" s="1" customFormat="1" ht="15.6" x14ac:dyDescent="0.3"/>
  </sheetData>
  <protectedRanges>
    <protectedRange sqref="WX11:XB16 WX9:XB9" name="Rango19_1_1"/>
    <protectedRange sqref="QX10 UC10 UE10 UM10 RA9:UN9 UP9:WN9 HZ9:QY9 HZ11:WN16" name="Rango17_1_1"/>
    <protectedRange sqref="HT11:HT16 HT9" name="Rango15_1_1"/>
    <protectedRange sqref="HR11:HR16 HR9" name="Rango14_1_1"/>
    <protectedRange sqref="HO11:HO16 HO9" name="Rango13_1_1"/>
    <protectedRange sqref="HM11:HM16 HM9" name="Rango12_1_1"/>
    <protectedRange sqref="HH11:HH16 HH9" name="Rango10_1_1"/>
    <protectedRange sqref="GQ11:GQ16 GQ9" name="Rango8_1_1"/>
    <protectedRange sqref="GB11:GB16 GB9" name="Rango7_1_1"/>
    <protectedRange sqref="FK11:FK16 FK9" name="Rango6_1_1"/>
    <protectedRange sqref="EE11:EE16" name="Rango4_1_2"/>
    <protectedRange sqref="EC15:EC16" name="Rango3_1_2"/>
    <protectedRange sqref="A16:F16 A15:D15" name="Rango1_1_3"/>
    <protectedRange sqref="BA14 H9:DK9 H11:AZ16 BC11:DK16 BA11:BB13 BA15:BB16" name="Rango2_1_1"/>
    <protectedRange sqref="EU11:EU16 EU9" name="Rango5_1_1"/>
    <protectedRange sqref="GV11:HE16 GV9:HD9" name="Rango9_1_1"/>
    <protectedRange sqref="HJ11:HJ16 HJ9" name="Rango11_1_1"/>
    <protectedRange sqref="HU11:HX16 HU9:HX9" name="Rango16_1_1"/>
    <protectedRange sqref="WQ11:WV16 WQ9:WV9" name="Rango18_1_1"/>
    <protectedRange sqref="DN9:DN10 GT9:GT10 DP9:DP10 A9:F14" name="Rango1_1_1_1"/>
    <protectedRange sqref="EC9:EC14" name="Rango3_1_1_1"/>
    <protectedRange sqref="EE9" name="Rango4_1_1_1"/>
    <protectedRange sqref="E15:F15" name="Rango1_1_2_1"/>
  </protectedRanges>
  <mergeCells count="120">
    <mergeCell ref="SI8:SJ8"/>
    <mergeCell ref="VQ8:WN8"/>
    <mergeCell ref="WQ8:WR8"/>
    <mergeCell ref="WS8:WT8"/>
    <mergeCell ref="WU8:WV8"/>
    <mergeCell ref="WY8:XA8"/>
    <mergeCell ref="TY8:TZ8"/>
    <mergeCell ref="UA8:UB8"/>
    <mergeCell ref="UC8:UL8"/>
    <mergeCell ref="UM8:UV8"/>
    <mergeCell ref="UW8:VF8"/>
    <mergeCell ref="VG8:VP8"/>
    <mergeCell ref="QT8:QW8"/>
    <mergeCell ref="QX8:QY8"/>
    <mergeCell ref="QZ8:RA8"/>
    <mergeCell ref="RB8:RC8"/>
    <mergeCell ref="RD8:RK8"/>
    <mergeCell ref="RL8:RM8"/>
    <mergeCell ref="SX7:TV7"/>
    <mergeCell ref="WW7:WX7"/>
    <mergeCell ref="WY7:XB7"/>
    <mergeCell ref="QT7:QW7"/>
    <mergeCell ref="QX7:RK7"/>
    <mergeCell ref="RL7:SB7"/>
    <mergeCell ref="SC7:SW7"/>
    <mergeCell ref="SK8:SW8"/>
    <mergeCell ref="SX8:SZ8"/>
    <mergeCell ref="TA8:TD8"/>
    <mergeCell ref="TE8:TF8"/>
    <mergeCell ref="TG8:TV8"/>
    <mergeCell ref="TW8:TX8"/>
    <mergeCell ref="RN8:RO8"/>
    <mergeCell ref="RP8:RQ8"/>
    <mergeCell ref="RR8:SB8"/>
    <mergeCell ref="SC8:SE8"/>
    <mergeCell ref="SF8:SH8"/>
    <mergeCell ref="HU8:HW8"/>
    <mergeCell ref="PV8:QA8"/>
    <mergeCell ref="QB8:QG8"/>
    <mergeCell ref="QH8:QM8"/>
    <mergeCell ref="QN8:QO8"/>
    <mergeCell ref="QP8:QQ8"/>
    <mergeCell ref="QR8:QS8"/>
    <mergeCell ref="PJ7:PO7"/>
    <mergeCell ref="PP7:PU7"/>
    <mergeCell ref="NZ7:OE7"/>
    <mergeCell ref="OF7:OK7"/>
    <mergeCell ref="OL7:OQ7"/>
    <mergeCell ref="OR7:OW7"/>
    <mergeCell ref="OX7:PC7"/>
    <mergeCell ref="PD7:PI7"/>
    <mergeCell ref="MP7:MU7"/>
    <mergeCell ref="MV7:NA7"/>
    <mergeCell ref="NB7:NG7"/>
    <mergeCell ref="NH7:NM7"/>
    <mergeCell ref="NN7:NS7"/>
    <mergeCell ref="NT7:NY7"/>
    <mergeCell ref="LF7:LK7"/>
    <mergeCell ref="LL7:LQ7"/>
    <mergeCell ref="LR7:LW7"/>
    <mergeCell ref="LX7:MC7"/>
    <mergeCell ref="MD7:MI7"/>
    <mergeCell ref="MJ7:MO7"/>
    <mergeCell ref="JV7:KA7"/>
    <mergeCell ref="KB7:KG7"/>
    <mergeCell ref="KH7:KM7"/>
    <mergeCell ref="KN7:KS7"/>
    <mergeCell ref="KT7:KY7"/>
    <mergeCell ref="KZ7:LE7"/>
    <mergeCell ref="FL7:GB7"/>
    <mergeCell ref="IL7:IQ7"/>
    <mergeCell ref="IR7:IW7"/>
    <mergeCell ref="IX7:JC7"/>
    <mergeCell ref="JD7:JI7"/>
    <mergeCell ref="JJ7:JO7"/>
    <mergeCell ref="JP7:JU7"/>
    <mergeCell ref="HN7:HO7"/>
    <mergeCell ref="HQ7:HR7"/>
    <mergeCell ref="HS7:HT7"/>
    <mergeCell ref="HU7:HX7"/>
    <mergeCell ref="HZ7:IE7"/>
    <mergeCell ref="IF7:IK7"/>
    <mergeCell ref="WQ5:WV6"/>
    <mergeCell ref="WW5:XC6"/>
    <mergeCell ref="HZ6:JC6"/>
    <mergeCell ref="JD6:KM6"/>
    <mergeCell ref="KN6:LW6"/>
    <mergeCell ref="LX6:NA6"/>
    <mergeCell ref="NB6:OK6"/>
    <mergeCell ref="OL6:PU6"/>
    <mergeCell ref="LX5:PU5"/>
    <mergeCell ref="PV5:QM6"/>
    <mergeCell ref="QN5:QS6"/>
    <mergeCell ref="QT5:TV6"/>
    <mergeCell ref="TW5:UB6"/>
    <mergeCell ref="UC5:WP6"/>
    <mergeCell ref="A4:D4"/>
    <mergeCell ref="GV5:HF6"/>
    <mergeCell ref="HG5:HK6"/>
    <mergeCell ref="HL5:HP6"/>
    <mergeCell ref="HQ5:HY6"/>
    <mergeCell ref="HZ5:LW5"/>
    <mergeCell ref="CN7:CY7"/>
    <mergeCell ref="H7:S7"/>
    <mergeCell ref="T7:AE7"/>
    <mergeCell ref="AF7:AQ7"/>
    <mergeCell ref="AR7:BC7"/>
    <mergeCell ref="BD7:BO7"/>
    <mergeCell ref="BP7:CA7"/>
    <mergeCell ref="GC7:GQ7"/>
    <mergeCell ref="GV7:GZ7"/>
    <mergeCell ref="HA7:HD7"/>
    <mergeCell ref="HG7:HH7"/>
    <mergeCell ref="HI7:HJ7"/>
    <mergeCell ref="HL7:HM7"/>
    <mergeCell ref="CB7:CM7"/>
    <mergeCell ref="CZ7:DK7"/>
    <mergeCell ref="DT7:EE7"/>
    <mergeCell ref="EF7:EU7"/>
    <mergeCell ref="EV7:FK7"/>
  </mergeCells>
  <conditionalFormatting sqref="G9:G16">
    <cfRule type="cellIs" dxfId="16" priority="17" operator="greaterThan">
      <formula>110</formula>
    </cfRule>
  </conditionalFormatting>
  <conditionalFormatting sqref="DP11:DR16">
    <cfRule type="cellIs" dxfId="15" priority="1" operator="equal">
      <formula>0</formula>
    </cfRule>
  </conditionalFormatting>
  <conditionalFormatting sqref="DQ9:DR9 DT9:GQ9 HF9:HG9 HI9 HK9 HP9 HY9 WO9 XC9 DQ10 DT10:EC10 DN11:DN16 DT11:GQ16 HF11:HG16 HI11:HI16 HK11:HK16 HP11:HP16 HY11:HY16 WO11:WO16 XC11:XC16">
    <cfRule type="cellIs" dxfId="14" priority="16" operator="equal">
      <formula>0</formula>
    </cfRule>
  </conditionalFormatting>
  <conditionalFormatting sqref="DS9:DS16">
    <cfRule type="cellIs" dxfId="13" priority="15" operator="greaterThan">
      <formula>1332</formula>
    </cfRule>
  </conditionalFormatting>
  <conditionalFormatting sqref="GT11:GT16">
    <cfRule type="cellIs" dxfId="12" priority="2" operator="equal">
      <formula>0</formula>
    </cfRule>
  </conditionalFormatting>
  <conditionalFormatting sqref="HG9 HG11:HG16">
    <cfRule type="cellIs" dxfId="11" priority="14" operator="greaterThan">
      <formula>12</formula>
    </cfRule>
  </conditionalFormatting>
  <conditionalFormatting sqref="HI9 HI11:HI16">
    <cfRule type="cellIs" dxfId="10" priority="5" operator="greaterThan">
      <formula>9</formula>
    </cfRule>
  </conditionalFormatting>
  <conditionalFormatting sqref="HL9 HL11:HL16">
    <cfRule type="cellIs" dxfId="9" priority="12" operator="greaterThan">
      <formula>9</formula>
    </cfRule>
    <cfRule type="cellIs" dxfId="8" priority="13" operator="lessThan">
      <formula>1</formula>
    </cfRule>
  </conditionalFormatting>
  <conditionalFormatting sqref="HN9 HN11:HN16">
    <cfRule type="cellIs" dxfId="7" priority="10" operator="greaterThan">
      <formula>6</formula>
    </cfRule>
    <cfRule type="cellIs" dxfId="6" priority="11" operator="lessThan">
      <formula>1</formula>
    </cfRule>
  </conditionalFormatting>
  <conditionalFormatting sqref="HQ9 HQ11:HQ16">
    <cfRule type="cellIs" dxfId="5" priority="8" operator="greaterThan">
      <formula>6</formula>
    </cfRule>
    <cfRule type="cellIs" dxfId="4" priority="9" operator="lessThan">
      <formula>1</formula>
    </cfRule>
  </conditionalFormatting>
  <conditionalFormatting sqref="HS9 HS11:HS16">
    <cfRule type="cellIs" dxfId="3" priority="6" operator="greaterThan">
      <formula>9</formula>
    </cfRule>
    <cfRule type="cellIs" dxfId="2" priority="7" operator="lessThan">
      <formula>1</formula>
    </cfRule>
  </conditionalFormatting>
  <conditionalFormatting sqref="WW9 WW11:WW16">
    <cfRule type="cellIs" dxfId="1" priority="3" operator="greaterThan">
      <formula>9</formula>
    </cfRule>
    <cfRule type="cellIs" dxfId="0" priority="4" operator="lessThan">
      <formula>1</formula>
    </cfRule>
  </conditionalFormatting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Masculino </vt:lpstr>
      <vt:lpstr>Femenino</vt:lpstr>
    </vt:vector>
  </TitlesOfParts>
  <Company>Luffi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Luffi</dc:creator>
  <cp:lastModifiedBy>Juan Luis Laya Rojas</cp:lastModifiedBy>
  <cp:lastPrinted>2014-08-23T15:34:04Z</cp:lastPrinted>
  <dcterms:created xsi:type="dcterms:W3CDTF">2012-04-20T15:04:46Z</dcterms:created>
  <dcterms:modified xsi:type="dcterms:W3CDTF">2026-07-27T14:29:01Z</dcterms:modified>
</cp:coreProperties>
</file>